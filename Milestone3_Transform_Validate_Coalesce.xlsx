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cords" sheetId="1" state="visible" r:id="rId3"/>
    <sheet name="Coalesced" sheetId="2" state="visible" r:id="rId4"/>
    <sheet name="Summary" sheetId="3" state="visible" r:id="rId5"/>
    <sheet name="Notes" sheetId="4" state="visible" r:id="rId6"/>
  </sheets>
  <definedNames>
    <definedName function="false" hidden="true" localSheetId="1" name="_xlnm._FilterDatabase" vbProcedure="false">Coalesced!$A$1:$H$18</definedName>
    <definedName function="false" hidden="true" localSheetId="0" name="_xlnm._FilterDatabase" vbProcedure="false">Records!$A$1:$O$27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<sst xmlns="http://schemas.openxmlformats.org/spreadsheetml/2006/main" count="191" uniqueCount="146">
  <si>
    <t xml:space="preserve">Record ID</t>
  </si>
  <si>
    <t xml:space="preserve">Source</t>
  </si>
  <si>
    <t xml:space="preserve">Raw Name</t>
  </si>
  <si>
    <t xml:space="preserve">Raw Email</t>
  </si>
  <si>
    <t xml:space="preserve">Date Added</t>
  </si>
  <si>
    <t xml:space="preserve">Trimmed Name</t>
  </si>
  <si>
    <t xml:space="preserve">Normalized Email</t>
  </si>
  <si>
    <t xml:space="preserve">Missing Name?</t>
  </si>
  <si>
    <t xml:space="preserve">Missing Email?</t>
  </si>
  <si>
    <t xml:space="preserve">Valid Email Syntax?</t>
  </si>
  <si>
    <t xml:space="preserve">Valid Email (Usable Key)?</t>
  </si>
  <si>
    <t xml:space="preserve">Needs Review?</t>
  </si>
  <si>
    <t xml:space="preserve">Duplicate Email?</t>
  </si>
  <si>
    <t xml:space="preserve">Date Rank In Group (1=Latest)</t>
  </si>
  <si>
    <t xml:space="preserve">Group Key</t>
  </si>
  <si>
    <t xml:space="preserve">R001</t>
  </si>
  <si>
    <t xml:space="preserve">Original</t>
  </si>
  <si>
    <t xml:space="preserve">Alice Johnson</t>
  </si>
  <si>
    <t xml:space="preserve">alice.johnson@example.com</t>
  </si>
  <si>
    <t xml:space="preserve">R002</t>
  </si>
  <si>
    <t xml:space="preserve">Bob Smith</t>
  </si>
  <si>
    <t xml:space="preserve"> Bob.Smith@Example.com </t>
  </si>
  <si>
    <t xml:space="preserve">R003</t>
  </si>
  <si>
    <t xml:space="preserve">Carla Gomez</t>
  </si>
  <si>
    <t xml:space="preserve">carla.gomez@example.com</t>
  </si>
  <si>
    <t xml:space="preserve">R004</t>
  </si>
  <si>
    <t xml:space="preserve">David Lee</t>
  </si>
  <si>
    <t xml:space="preserve">david.lee@example.com</t>
  </si>
  <si>
    <t xml:space="preserve">R005</t>
  </si>
  <si>
    <t xml:space="preserve">Erin Walsh</t>
  </si>
  <si>
    <t xml:space="preserve">erin.walsh@example</t>
  </si>
  <si>
    <t xml:space="preserve">R006</t>
  </si>
  <si>
    <t xml:space="preserve">frank.miller@example.com</t>
  </si>
  <si>
    <t xml:space="preserve">R007</t>
  </si>
  <si>
    <t xml:space="preserve">Grace Kim</t>
  </si>
  <si>
    <t xml:space="preserve">R008</t>
  </si>
  <si>
    <t xml:space="preserve">Henry Ford</t>
  </si>
  <si>
    <t xml:space="preserve">henry.ford@example.com</t>
  </si>
  <si>
    <t xml:space="preserve">R009</t>
  </si>
  <si>
    <t xml:space="preserve">Isla Turner</t>
  </si>
  <si>
    <t xml:space="preserve">isla.turner@example.com</t>
  </si>
  <si>
    <t xml:space="preserve">R010</t>
  </si>
  <si>
    <t xml:space="preserve">Jack Nolan</t>
  </si>
  <si>
    <t xml:space="preserve">jack.nolan@example.com</t>
  </si>
  <si>
    <t xml:space="preserve">R011</t>
  </si>
  <si>
    <t xml:space="preserve">Karen Diaz</t>
  </si>
  <si>
    <t xml:space="preserve">karen.diaz@example.com</t>
  </si>
  <si>
    <t xml:space="preserve">R012</t>
  </si>
  <si>
    <t xml:space="preserve">Liam Chen</t>
  </si>
  <si>
    <t xml:space="preserve">liam.chen@example.com</t>
  </si>
  <si>
    <t xml:space="preserve">R013</t>
  </si>
  <si>
    <t xml:space="preserve">Mona Patel</t>
  </si>
  <si>
    <t xml:space="preserve">mona.patel@@example.com</t>
  </si>
  <si>
    <t xml:space="preserve">R014</t>
  </si>
  <si>
    <t xml:space="preserve">Noah White</t>
  </si>
  <si>
    <t xml:space="preserve">noah.white@example.com</t>
  </si>
  <si>
    <t xml:space="preserve">R015</t>
  </si>
  <si>
    <t xml:space="preserve">Olivia Brooks</t>
  </si>
  <si>
    <t xml:space="preserve">olivia.brooks@example.com</t>
  </si>
  <si>
    <t xml:space="preserve">R016</t>
  </si>
  <si>
    <t xml:space="preserve">  Bob   Smith  </t>
  </si>
  <si>
    <t xml:space="preserve">bob.smith@example.com</t>
  </si>
  <si>
    <t xml:space="preserve">R017</t>
  </si>
  <si>
    <t xml:space="preserve">Carla G. Martinez</t>
  </si>
  <si>
    <t xml:space="preserve">CARLA.GOMEZ@EXAMPLE.COM</t>
  </si>
  <si>
    <t xml:space="preserve">R018</t>
  </si>
  <si>
    <t xml:space="preserve">Priya Shah</t>
  </si>
  <si>
    <t xml:space="preserve">priya.shah@example.com</t>
  </si>
  <si>
    <t xml:space="preserve">R019</t>
  </si>
  <si>
    <t xml:space="preserve">New</t>
  </si>
  <si>
    <t xml:space="preserve">Quinn Adams</t>
  </si>
  <si>
    <t xml:space="preserve">quinn.adams@example.com</t>
  </si>
  <si>
    <t xml:space="preserve">R020</t>
  </si>
  <si>
    <t xml:space="preserve">R021</t>
  </si>
  <si>
    <t xml:space="preserve">R022</t>
  </si>
  <si>
    <t xml:space="preserve">Frank Miller</t>
  </si>
  <si>
    <t xml:space="preserve">R023</t>
  </si>
  <si>
    <t xml:space="preserve">Rita O'Connor</t>
  </si>
  <si>
    <t xml:space="preserve">rita.oconnor@example.com</t>
  </si>
  <si>
    <t xml:space="preserve">R024</t>
  </si>
  <si>
    <t xml:space="preserve">Sam Young</t>
  </si>
  <si>
    <t xml:space="preserve">sam.young@example.com</t>
  </si>
  <si>
    <t xml:space="preserve">R025</t>
  </si>
  <si>
    <t xml:space="preserve">grace.kim@example.com</t>
  </si>
  <si>
    <t xml:space="preserve">R026</t>
  </si>
  <si>
    <t xml:space="preserve">Tara Fields</t>
  </si>
  <si>
    <t xml:space="preserve">tara fields@example.com</t>
  </si>
  <si>
    <t xml:space="preserve">Legend:</t>
  </si>
  <si>
    <t xml:space="preserve">White rows = Original source data</t>
  </si>
  <si>
    <t xml:space="preserve">Yellow rows = Newly added records</t>
  </si>
  <si>
    <t xml:space="preserve">Pink rows = Needs review (missing/invalid data)</t>
  </si>
  <si>
    <t xml:space="preserve">Columns F-O are derived by formula from the Raw Name / Raw Email / Date Added columns; nothing in this block is hardcoded.</t>
  </si>
  <si>
    <t xml:space="preserve">Coalesced ID</t>
  </si>
  <si>
    <t xml:space="preserve">Normalized Email (Key)</t>
  </si>
  <si>
    <t xml:space="preserve">Name (Latest Nonblank)</t>
  </si>
  <si>
    <t xml:space="preserve">Latest Raw Email (As Submitted)</t>
  </si>
  <si>
    <t xml:space="preserve">Latest Date Added</t>
  </si>
  <si>
    <t xml:space="preserve">Record Count</t>
  </si>
  <si>
    <t xml:space="preserve">Was Duplicate?</t>
  </si>
  <si>
    <t xml:space="preserve">Source Record IDs</t>
  </si>
  <si>
    <t xml:space="preserve">C001</t>
  </si>
  <si>
    <t xml:space="preserve">C002</t>
  </si>
  <si>
    <t xml:space="preserve">C003</t>
  </si>
  <si>
    <t xml:space="preserve">C004</t>
  </si>
  <si>
    <t xml:space="preserve">C005</t>
  </si>
  <si>
    <t xml:space="preserve">C006</t>
  </si>
  <si>
    <t xml:space="preserve">C007</t>
  </si>
  <si>
    <t xml:space="preserve">C008</t>
  </si>
  <si>
    <t xml:space="preserve">C009</t>
  </si>
  <si>
    <t xml:space="preserve">C010</t>
  </si>
  <si>
    <t xml:space="preserve">C011</t>
  </si>
  <si>
    <t xml:space="preserve">C012</t>
  </si>
  <si>
    <t xml:space="preserve">C013</t>
  </si>
  <si>
    <t xml:space="preserve">C014</t>
  </si>
  <si>
    <t xml:space="preserve">C015</t>
  </si>
  <si>
    <t xml:space="preserve">C016</t>
  </si>
  <si>
    <t xml:space="preserve">C017</t>
  </si>
  <si>
    <t xml:space="preserve">Highlighted rows were built from more than one source record (a duplicate email was found).</t>
  </si>
  <si>
    <t xml:space="preserve">Milestone 3: Transform Data &amp; Validate, Enable Coalesce to Avoid Duplicate Records</t>
  </si>
  <si>
    <t xml:space="preserve">Summary of processing results — all figures below are live formulas, not typed-in numbers.</t>
  </si>
  <si>
    <t xml:space="preserve">Metric</t>
  </si>
  <si>
    <t xml:space="preserve">Value</t>
  </si>
  <si>
    <t xml:space="preserve">Rows received (Records sheet)</t>
  </si>
  <si>
    <t xml:space="preserve">Rows flagged: missing name</t>
  </si>
  <si>
    <t xml:space="preserve">Rows flagged: missing or invalid email</t>
  </si>
  <si>
    <t xml:space="preserve">Rows needing review (any reason)</t>
  </si>
  <si>
    <t xml:space="preserve">Rows with a usable (valid) email</t>
  </si>
  <si>
    <t xml:space="preserve">Duplicate rows detected (valid email seen more than once)</t>
  </si>
  <si>
    <t xml:space="preserve">Valid unique people (rows in Coalesced sheet)</t>
  </si>
  <si>
    <t xml:space="preserve">Duplicate rows coalesced away (merged into an existing person)</t>
  </si>
  <si>
    <t xml:space="preserve">Invalid records excluded from Coalesced (no usable email)</t>
  </si>
  <si>
    <t xml:space="preserve">Notes &amp; Coalescing Rule</t>
  </si>
  <si>
    <t xml:space="preserve">Sample data</t>
  </si>
  <si>
    <t xml:space="preserve">All data in this workbook (Records sheet) is illustrative sample data created for this milestone; no source files were provided. Replace it with real extract data before use.</t>
  </si>
  <si>
    <t xml:space="preserve">Transformation rule</t>
  </si>
  <si>
    <t xml:space="preserve">Names are trimmed of leading/trailing spaces (TRIM). Emails are trimmed and lower-cased to produce a Normalized Email, which is used as the matching key for duplicate detection and coalescing.</t>
  </si>
  <si>
    <t xml:space="preserve">Validation rule</t>
  </si>
  <si>
    <t xml:space="preserve">A record is flagged "Needs Review" if its trimmed name is blank, its normalized email is blank, or its normalized email fails a basic syntax check (must contain exactly one "@", not be at the start or end of the string, must contain a "." in the domain portion after at least one character, must not end in ".", and must contain no internal spaces).</t>
  </si>
  <si>
    <t xml:space="preserve">Duplicate detection rule</t>
  </si>
  <si>
    <t xml:space="preserve">Two or more records are treated as duplicates of the same person when they share the same Normalized Email and that email is syntactically valid (usable as a key). Records with a missing or invalid email cannot be keyed and are therefore never merged, even if another field looks similar.</t>
  </si>
  <si>
    <t xml:space="preserve">Coalescing rule</t>
  </si>
  <si>
    <t xml:space="preserve">The Coalesced sheet contains exactly one row per valid unique Normalized Email. For each field (currently Name and Raw Email as submitted), the coalesced value is the latest nonblank value across all valid-email records sharing that key, ranked by Date Added (ties broken by the higher Record ID). This means a later record can fill in a field an earlier record left blank, and a later correction supersedes an earlier value, field by field — not simply "use the newest row."</t>
  </si>
  <si>
    <t xml:space="preserve">Records excluded from Coalesced</t>
  </si>
  <si>
    <t xml:space="preserve">Records whose email is blank or fails the syntax check cannot be matched to any key and are excluded from the Coalesced sheet entirely. They remain visible and flagged for review on the Records sheet. In this sample:
  • R005 (Erin Walsh) – email missing a domain "." (erin.walsh@example)
  • R007 (Grace Kim) – email missing entirely
  • R013 (Mona Patel) – email contains two "@" characters
  • R021 (blank) – both name and email missing
  • R026 (Tara Fields) – email contains an internal space
Note R006 (Frank Miller, name originally blank) and R007 (Grace Kim, email originally blank) show the opposite case: R006 has a valid email so it IS coalesced (and its later duplicate R022 supplies the name), while R007 has no email at all so it can never be coalesced — a missing name is fixable by a later record, a missing key is not.</t>
  </si>
  <si>
    <t xml:space="preserve">Maintaining this workbook</t>
  </si>
  <si>
    <t xml:space="preserve">The Records sheet's derived columns (F–O) and every figure on the Summary sheet recalculate automatically from the raw data. The list of unique emails on the Coalesced sheet (column B) is a snapshot of the keys present when this workbook was built; if new emails are added to Records, add matching rows to Coalesced (columns C–H will recalculate automatically once the key is in place).</t>
  </si>
</sst>
</file>

<file path=xl/styles.xml><?xml version="1.0" encoding="utf-8"?>
<styleSheet xmlns="http://schemas.openxmlformats.org/spreadsheetml/2006/main">
  <numFmts count="3">
    <numFmt numFmtId="164" formatCode="General"/>
    <numFmt numFmtId="165" formatCode="yyyy\-mm\-dd"/>
    <numFmt numFmtId="166"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i val="true"/>
      <sz val="10"/>
      <color rgb="FF595959"/>
      <name val="Arial"/>
      <family val="0"/>
      <charset val="1"/>
    </font>
    <font>
      <b val="true"/>
      <sz val="14"/>
      <color rgb="FF1F4E78"/>
      <name val="Arial"/>
      <family val="0"/>
      <charset val="1"/>
    </font>
  </fonts>
  <fills count="7">
    <fill>
      <patternFill patternType="none"/>
    </fill>
    <fill>
      <patternFill patternType="gray125"/>
    </fill>
    <fill>
      <patternFill patternType="solid">
        <fgColor rgb="FF1F4E78"/>
        <bgColor rgb="FF003366"/>
      </patternFill>
    </fill>
    <fill>
      <patternFill patternType="solid">
        <fgColor rgb="FFFFFFFF"/>
        <bgColor rgb="FFFFF2CC"/>
      </patternFill>
    </fill>
    <fill>
      <patternFill patternType="solid">
        <fgColor rgb="FFFFF2CC"/>
        <bgColor rgb="FFFCE4E4"/>
      </patternFill>
    </fill>
    <fill>
      <patternFill patternType="solid">
        <fgColor rgb="FFFCE4E4"/>
        <bgColor rgb="FFFFF2CC"/>
      </patternFill>
    </fill>
    <fill>
      <patternFill patternType="solid">
        <fgColor rgb="FFD9E1F2"/>
        <bgColor rgb="FFFCE4E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5" fontId="5" fillId="3" borderId="1" xfId="0" applyFont="true" applyBorder="true" applyAlignment="false" applyProtection="false">
      <alignment horizontal="general" vertical="bottom" textRotation="0" wrapText="false" indent="0" shrinkToFit="false"/>
      <protection locked="true" hidden="false"/>
    </xf>
    <xf numFmtId="166" fontId="5" fillId="3"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5" fontId="5" fillId="4" borderId="1" xfId="0" applyFont="true" applyBorder="true" applyAlignment="false" applyProtection="false">
      <alignment horizontal="general" vertical="bottom" textRotation="0" wrapText="false" indent="0" shrinkToFit="false"/>
      <protection locked="true" hidden="false"/>
    </xf>
    <xf numFmtId="166" fontId="5" fillId="4"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6" fontId="6" fillId="6"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8"/>
          <bgColor rgb="FF000000"/>
        </patternFill>
      </fill>
    </dxf>
    <dxf>
      <fill>
        <patternFill patternType="solid">
          <fgColor rgb="FFFCE4E4"/>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bgColor rgb="FFFCE4E4"/>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20"/>
    <col collapsed="false" customWidth="true" hidden="false" outlineLevel="0" max="4" min="4" style="0" width="26"/>
    <col collapsed="false" customWidth="true" hidden="false" outlineLevel="0" max="5" min="5" style="0" width="12"/>
    <col collapsed="false" customWidth="true" hidden="false" outlineLevel="0" max="6" min="6" style="0" width="20"/>
    <col collapsed="false" customWidth="true" hidden="false" outlineLevel="0" max="7" min="7" style="0" width="24"/>
    <col collapsed="false" customWidth="true" hidden="false" outlineLevel="0" max="8" min="8" style="0" width="13"/>
    <col collapsed="false" customWidth="true" hidden="false" outlineLevel="0" max="9" min="9" style="0" width="14"/>
    <col collapsed="false" customWidth="true" hidden="false" outlineLevel="0" max="10" min="10" style="0" width="16"/>
    <col collapsed="false" customWidth="true" hidden="false" outlineLevel="0" max="11" min="11" style="0" width="18"/>
    <col collapsed="false" customWidth="true" hidden="false" outlineLevel="0" max="12" min="12" style="0" width="13"/>
    <col collapsed="false" customWidth="true" hidden="false" outlineLevel="0" max="13" min="13" style="0" width="14"/>
    <col collapsed="false" customWidth="true" hidden="false" outlineLevel="0" max="14" min="14" style="0" width="20"/>
    <col collapsed="false" customWidth="true" hidden="false" outlineLevel="0" max="15" min="15" style="0" width="22"/>
  </cols>
  <sheetData>
    <row r="1" customFormat="false" ht="33.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15" hidden="false" customHeight="false" outlineLevel="0" collapsed="false">
      <c r="A2" s="2" t="s">
        <v>15</v>
      </c>
      <c r="B2" s="2" t="s">
        <v>16</v>
      </c>
      <c r="C2" s="2" t="s">
        <v>17</v>
      </c>
      <c r="D2" s="2" t="s">
        <v>18</v>
      </c>
      <c r="E2" s="3" t="n">
        <v>45667</v>
      </c>
      <c r="F2" s="2" t="str">
        <f aca="false">TRIM(C2)</f>
        <v>Alice Johnson</v>
      </c>
      <c r="G2" s="2" t="str">
        <f aca="false">LOWER(TRIM(D2))</f>
        <v>alice.johnson@example.com</v>
      </c>
      <c r="H2" s="4" t="b">
        <f aca="false">F2=""</f>
        <v>0</v>
      </c>
      <c r="I2" s="4" t="b">
        <f aca="false">G2=""</f>
        <v>0</v>
      </c>
      <c r="J2" s="4" t="b">
        <f aca="false">IF(I2,FALSE(),AND(ISNUMBER(SEARCH("@",G2)),LEN(G2)-LEN(SUBSTITUTE(G2,"@",""))=1,LEFT(G2,1)&lt;&gt;"@",RIGHT(G2,1)&lt;&gt;"@",ISNUMBER(SEARCH(".",G2,SEARCH("@",G2)+2)),RIGHT(G2,1)&lt;&gt;".",LEN(G2)=LEN(SUBSTITUTE(G2," ",""))))</f>
        <v>1</v>
      </c>
      <c r="K2" s="4" t="b">
        <f aca="false">AND(NOT(I2),J2)</f>
        <v>1</v>
      </c>
      <c r="L2" s="4" t="b">
        <f aca="false">OR(H2,NOT(K2))</f>
        <v>0</v>
      </c>
      <c r="M2" s="4" t="b">
        <f aca="false">IF(NOT(K2),"",IF(COUNTIFS(Records!$G$2:$G$27,G2,Records!$K$2:$K$27,TRUE())&gt;1,TRUE(),FALSE()))</f>
        <v>0</v>
      </c>
      <c r="N2" s="2" t="n">
        <f aca="false">IF(K2,SUMPRODUCT((Records!$G$2:$G$27=G2)*(Records!$K$2:$K$27=TRUE())*(Records!$E$2:$E$27&gt;E2))+SUMPRODUCT((Records!$G$2:$G$27=G2)*(Records!$K$2:$K$27=TRUE())*(Records!$E$2:$E$27=E2)*(Records!$A$2:$A$27&gt;A2))+1,"")</f>
        <v>1</v>
      </c>
      <c r="O2" s="2" t="str">
        <f aca="false">IF(K2,G2&amp;"|"&amp;N2,"")</f>
        <v>alice.johnson@example.com|1</v>
      </c>
    </row>
    <row r="3" customFormat="false" ht="15" hidden="false" customHeight="false" outlineLevel="0" collapsed="false">
      <c r="A3" s="2" t="s">
        <v>19</v>
      </c>
      <c r="B3" s="2" t="s">
        <v>16</v>
      </c>
      <c r="C3" s="2" t="s">
        <v>20</v>
      </c>
      <c r="D3" s="2" t="s">
        <v>21</v>
      </c>
      <c r="E3" s="3" t="n">
        <v>45668</v>
      </c>
      <c r="F3" s="2" t="str">
        <f aca="false">TRIM(C3)</f>
        <v>Bob Smith</v>
      </c>
      <c r="G3" s="2" t="str">
        <f aca="false">LOWER(TRIM(D3))</f>
        <v>bob.smith@example.com</v>
      </c>
      <c r="H3" s="4" t="b">
        <f aca="false">F3=""</f>
        <v>0</v>
      </c>
      <c r="I3" s="4" t="b">
        <f aca="false">G3=""</f>
        <v>0</v>
      </c>
      <c r="J3" s="4" t="b">
        <f aca="false">IF(I3,FALSE(),AND(ISNUMBER(SEARCH("@",G3)),LEN(G3)-LEN(SUBSTITUTE(G3,"@",""))=1,LEFT(G3,1)&lt;&gt;"@",RIGHT(G3,1)&lt;&gt;"@",ISNUMBER(SEARCH(".",G3,SEARCH("@",G3)+2)),RIGHT(G3,1)&lt;&gt;".",LEN(G3)=LEN(SUBSTITUTE(G3," ",""))))</f>
        <v>1</v>
      </c>
      <c r="K3" s="4" t="b">
        <f aca="false">AND(NOT(I3),J3)</f>
        <v>1</v>
      </c>
      <c r="L3" s="4" t="b">
        <f aca="false">OR(H3,NOT(K3))</f>
        <v>0</v>
      </c>
      <c r="M3" s="4" t="b">
        <f aca="false">IF(NOT(K3),"",IF(COUNTIFS(Records!$G$2:$G$27,G3,Records!$K$2:$K$27,TRUE())&gt;1,TRUE(),FALSE()))</f>
        <v>1</v>
      </c>
      <c r="N3" s="2" t="n">
        <f aca="false">IF(K3,SUMPRODUCT((Records!$G$2:$G$27=G3)*(Records!$K$2:$K$27=TRUE())*(Records!$E$2:$E$27&gt;E3))+SUMPRODUCT((Records!$G$2:$G$27=G3)*(Records!$K$2:$K$27=TRUE())*(Records!$E$2:$E$27=E3)*(Records!$A$2:$A$27&gt;A3))+1,"")</f>
        <v>3</v>
      </c>
      <c r="O3" s="2" t="str">
        <f aca="false">IF(K3,G3&amp;"|"&amp;N3,"")</f>
        <v>bob.smith@example.com|3</v>
      </c>
    </row>
    <row r="4" customFormat="false" ht="15" hidden="false" customHeight="false" outlineLevel="0" collapsed="false">
      <c r="A4" s="2" t="s">
        <v>22</v>
      </c>
      <c r="B4" s="2" t="s">
        <v>16</v>
      </c>
      <c r="C4" s="2" t="s">
        <v>23</v>
      </c>
      <c r="D4" s="2" t="s">
        <v>24</v>
      </c>
      <c r="E4" s="3" t="n">
        <v>45669</v>
      </c>
      <c r="F4" s="2" t="str">
        <f aca="false">TRIM(C4)</f>
        <v>Carla Gomez</v>
      </c>
      <c r="G4" s="2" t="str">
        <f aca="false">LOWER(TRIM(D4))</f>
        <v>carla.gomez@example.com</v>
      </c>
      <c r="H4" s="4" t="b">
        <f aca="false">F4=""</f>
        <v>0</v>
      </c>
      <c r="I4" s="4" t="b">
        <f aca="false">G4=""</f>
        <v>0</v>
      </c>
      <c r="J4" s="4" t="b">
        <f aca="false">IF(I4,FALSE(),AND(ISNUMBER(SEARCH("@",G4)),LEN(G4)-LEN(SUBSTITUTE(G4,"@",""))=1,LEFT(G4,1)&lt;&gt;"@",RIGHT(G4,1)&lt;&gt;"@",ISNUMBER(SEARCH(".",G4,SEARCH("@",G4)+2)),RIGHT(G4,1)&lt;&gt;".",LEN(G4)=LEN(SUBSTITUTE(G4," ",""))))</f>
        <v>1</v>
      </c>
      <c r="K4" s="4" t="b">
        <f aca="false">AND(NOT(I4),J4)</f>
        <v>1</v>
      </c>
      <c r="L4" s="4" t="b">
        <f aca="false">OR(H4,NOT(K4))</f>
        <v>0</v>
      </c>
      <c r="M4" s="4" t="b">
        <f aca="false">IF(NOT(K4),"",IF(COUNTIFS(Records!$G$2:$G$27,G4,Records!$K$2:$K$27,TRUE())&gt;1,TRUE(),FALSE()))</f>
        <v>1</v>
      </c>
      <c r="N4" s="2" t="n">
        <f aca="false">IF(K4,SUMPRODUCT((Records!$G$2:$G$27=G4)*(Records!$K$2:$K$27=TRUE())*(Records!$E$2:$E$27&gt;E4))+SUMPRODUCT((Records!$G$2:$G$27=G4)*(Records!$K$2:$K$27=TRUE())*(Records!$E$2:$E$27=E4)*(Records!$A$2:$A$27&gt;A4))+1,"")</f>
        <v>2</v>
      </c>
      <c r="O4" s="2" t="str">
        <f aca="false">IF(K4,G4&amp;"|"&amp;N4,"")</f>
        <v>carla.gomez@example.com|2</v>
      </c>
    </row>
    <row r="5" customFormat="false" ht="15" hidden="false" customHeight="false" outlineLevel="0" collapsed="false">
      <c r="A5" s="2" t="s">
        <v>25</v>
      </c>
      <c r="B5" s="2" t="s">
        <v>16</v>
      </c>
      <c r="C5" s="2" t="s">
        <v>26</v>
      </c>
      <c r="D5" s="2" t="s">
        <v>27</v>
      </c>
      <c r="E5" s="3" t="n">
        <v>45670</v>
      </c>
      <c r="F5" s="2" t="str">
        <f aca="false">TRIM(C5)</f>
        <v>David Lee</v>
      </c>
      <c r="G5" s="2" t="str">
        <f aca="false">LOWER(TRIM(D5))</f>
        <v>david.lee@example.com</v>
      </c>
      <c r="H5" s="4" t="b">
        <f aca="false">F5=""</f>
        <v>0</v>
      </c>
      <c r="I5" s="4" t="b">
        <f aca="false">G5=""</f>
        <v>0</v>
      </c>
      <c r="J5" s="4" t="b">
        <f aca="false">IF(I5,FALSE(),AND(ISNUMBER(SEARCH("@",G5)),LEN(G5)-LEN(SUBSTITUTE(G5,"@",""))=1,LEFT(G5,1)&lt;&gt;"@",RIGHT(G5,1)&lt;&gt;"@",ISNUMBER(SEARCH(".",G5,SEARCH("@",G5)+2)),RIGHT(G5,1)&lt;&gt;".",LEN(G5)=LEN(SUBSTITUTE(G5," ",""))))</f>
        <v>1</v>
      </c>
      <c r="K5" s="4" t="b">
        <f aca="false">AND(NOT(I5),J5)</f>
        <v>1</v>
      </c>
      <c r="L5" s="4" t="b">
        <f aca="false">OR(H5,NOT(K5))</f>
        <v>0</v>
      </c>
      <c r="M5" s="4" t="b">
        <f aca="false">IF(NOT(K5),"",IF(COUNTIFS(Records!$G$2:$G$27,G5,Records!$K$2:$K$27,TRUE())&gt;1,TRUE(),FALSE()))</f>
        <v>0</v>
      </c>
      <c r="N5" s="2" t="n">
        <f aca="false">IF(K5,SUMPRODUCT((Records!$G$2:$G$27=G5)*(Records!$K$2:$K$27=TRUE())*(Records!$E$2:$E$27&gt;E5))+SUMPRODUCT((Records!$G$2:$G$27=G5)*(Records!$K$2:$K$27=TRUE())*(Records!$E$2:$E$27=E5)*(Records!$A$2:$A$27&gt;A5))+1,"")</f>
        <v>1</v>
      </c>
      <c r="O5" s="2" t="str">
        <f aca="false">IF(K5,G5&amp;"|"&amp;N5,"")</f>
        <v>david.lee@example.com|1</v>
      </c>
    </row>
    <row r="6" customFormat="false" ht="15" hidden="false" customHeight="false" outlineLevel="0" collapsed="false">
      <c r="A6" s="2" t="s">
        <v>28</v>
      </c>
      <c r="B6" s="2" t="s">
        <v>16</v>
      </c>
      <c r="C6" s="2" t="s">
        <v>29</v>
      </c>
      <c r="D6" s="2" t="s">
        <v>30</v>
      </c>
      <c r="E6" s="3" t="n">
        <v>45671</v>
      </c>
      <c r="F6" s="2" t="str">
        <f aca="false">TRIM(C6)</f>
        <v>Erin Walsh</v>
      </c>
      <c r="G6" s="2" t="str">
        <f aca="false">LOWER(TRIM(D6))</f>
        <v>erin.walsh@example</v>
      </c>
      <c r="H6" s="4" t="b">
        <f aca="false">F6=""</f>
        <v>0</v>
      </c>
      <c r="I6" s="4" t="b">
        <f aca="false">G6=""</f>
        <v>0</v>
      </c>
      <c r="J6" s="4" t="b">
        <f aca="false">IF(I6,FALSE(),AND(ISNUMBER(SEARCH("@",G6)),LEN(G6)-LEN(SUBSTITUTE(G6,"@",""))=1,LEFT(G6,1)&lt;&gt;"@",RIGHT(G6,1)&lt;&gt;"@",ISNUMBER(SEARCH(".",G6,SEARCH("@",G6)+2)),RIGHT(G6,1)&lt;&gt;".",LEN(G6)=LEN(SUBSTITUTE(G6," ",""))))</f>
        <v>0</v>
      </c>
      <c r="K6" s="4" t="b">
        <f aca="false">AND(NOT(I6),J6)</f>
        <v>0</v>
      </c>
      <c r="L6" s="4" t="b">
        <f aca="false">OR(H6,NOT(K6))</f>
        <v>1</v>
      </c>
      <c r="M6" s="2" t="str">
        <f aca="false">IF(NOT(K6),"",IF(COUNTIFS(Records!$G$2:$G$27,G6,Records!$K$2:$K$27,TRUE())&gt;1,TRUE(),FALSE()))</f>
        <v/>
      </c>
      <c r="N6" s="2" t="str">
        <f aca="false">IF(K6,SUMPRODUCT((Records!$G$2:$G$27=G6)*(Records!$K$2:$K$27=TRUE())*(Records!$E$2:$E$27&gt;E6))+SUMPRODUCT((Records!$G$2:$G$27=G6)*(Records!$K$2:$K$27=TRUE())*(Records!$E$2:$E$27=E6)*(Records!$A$2:$A$27&gt;A6))+1,"")</f>
        <v/>
      </c>
      <c r="O6" s="2" t="str">
        <f aca="false">IF(K6,G6&amp;"|"&amp;N6,"")</f>
        <v/>
      </c>
    </row>
    <row r="7" customFormat="false" ht="15" hidden="false" customHeight="false" outlineLevel="0" collapsed="false">
      <c r="A7" s="2" t="s">
        <v>31</v>
      </c>
      <c r="B7" s="2" t="s">
        <v>16</v>
      </c>
      <c r="C7" s="2"/>
      <c r="D7" s="2" t="s">
        <v>32</v>
      </c>
      <c r="E7" s="3" t="n">
        <v>45672</v>
      </c>
      <c r="F7" s="2" t="str">
        <f aca="false">TRIM(C7)</f>
        <v/>
      </c>
      <c r="G7" s="2" t="str">
        <f aca="false">LOWER(TRIM(D7))</f>
        <v>frank.miller@example.com</v>
      </c>
      <c r="H7" s="4" t="b">
        <f aca="false">F7=""</f>
        <v>1</v>
      </c>
      <c r="I7" s="4" t="b">
        <f aca="false">G7=""</f>
        <v>0</v>
      </c>
      <c r="J7" s="4" t="b">
        <f aca="false">IF(I7,FALSE(),AND(ISNUMBER(SEARCH("@",G7)),LEN(G7)-LEN(SUBSTITUTE(G7,"@",""))=1,LEFT(G7,1)&lt;&gt;"@",RIGHT(G7,1)&lt;&gt;"@",ISNUMBER(SEARCH(".",G7,SEARCH("@",G7)+2)),RIGHT(G7,1)&lt;&gt;".",LEN(G7)=LEN(SUBSTITUTE(G7," ",""))))</f>
        <v>1</v>
      </c>
      <c r="K7" s="4" t="b">
        <f aca="false">AND(NOT(I7),J7)</f>
        <v>1</v>
      </c>
      <c r="L7" s="4" t="b">
        <f aca="false">OR(H7,NOT(K7))</f>
        <v>1</v>
      </c>
      <c r="M7" s="4" t="b">
        <f aca="false">IF(NOT(K7),"",IF(COUNTIFS(Records!$G$2:$G$27,G7,Records!$K$2:$K$27,TRUE())&gt;1,TRUE(),FALSE()))</f>
        <v>1</v>
      </c>
      <c r="N7" s="2" t="n">
        <f aca="false">IF(K7,SUMPRODUCT((Records!$G$2:$G$27=G7)*(Records!$K$2:$K$27=TRUE())*(Records!$E$2:$E$27&gt;E7))+SUMPRODUCT((Records!$G$2:$G$27=G7)*(Records!$K$2:$K$27=TRUE())*(Records!$E$2:$E$27=E7)*(Records!$A$2:$A$27&gt;A7))+1,"")</f>
        <v>2</v>
      </c>
      <c r="O7" s="2" t="str">
        <f aca="false">IF(K7,G7&amp;"|"&amp;N7,"")</f>
        <v>frank.miller@example.com|2</v>
      </c>
    </row>
    <row r="8" customFormat="false" ht="15" hidden="false" customHeight="false" outlineLevel="0" collapsed="false">
      <c r="A8" s="2" t="s">
        <v>33</v>
      </c>
      <c r="B8" s="2" t="s">
        <v>16</v>
      </c>
      <c r="C8" s="2" t="s">
        <v>34</v>
      </c>
      <c r="D8" s="2"/>
      <c r="E8" s="3" t="n">
        <v>45673</v>
      </c>
      <c r="F8" s="2" t="str">
        <f aca="false">TRIM(C8)</f>
        <v>Grace Kim</v>
      </c>
      <c r="G8" s="2" t="str">
        <f aca="false">LOWER(TRIM(D8))</f>
        <v/>
      </c>
      <c r="H8" s="4" t="b">
        <f aca="false">F8=""</f>
        <v>0</v>
      </c>
      <c r="I8" s="4" t="b">
        <f aca="false">G8=""</f>
        <v>1</v>
      </c>
      <c r="J8" s="4" t="b">
        <f aca="false">IF(I8,FALSE(),AND(ISNUMBER(SEARCH("@",G8)),LEN(G8)-LEN(SUBSTITUTE(G8,"@",""))=1,LEFT(G8,1)&lt;&gt;"@",RIGHT(G8,1)&lt;&gt;"@",ISNUMBER(SEARCH(".",G8,SEARCH("@",G8)+2)),RIGHT(G8,1)&lt;&gt;".",LEN(G8)=LEN(SUBSTITUTE(G8," ",""))))</f>
        <v>0</v>
      </c>
      <c r="K8" s="4" t="b">
        <f aca="false">AND(NOT(I8),J8)</f>
        <v>0</v>
      </c>
      <c r="L8" s="4" t="b">
        <f aca="false">OR(H8,NOT(K8))</f>
        <v>1</v>
      </c>
      <c r="M8" s="2" t="str">
        <f aca="false">IF(NOT(K8),"",IF(COUNTIFS(Records!$G$2:$G$27,G8,Records!$K$2:$K$27,TRUE())&gt;1,TRUE(),FALSE()))</f>
        <v/>
      </c>
      <c r="N8" s="2" t="str">
        <f aca="false">IF(K8,SUMPRODUCT((Records!$G$2:$G$27=G8)*(Records!$K$2:$K$27=TRUE())*(Records!$E$2:$E$27&gt;E8))+SUMPRODUCT((Records!$G$2:$G$27=G8)*(Records!$K$2:$K$27=TRUE())*(Records!$E$2:$E$27=E8)*(Records!$A$2:$A$27&gt;A8))+1,"")</f>
        <v/>
      </c>
      <c r="O8" s="2" t="str">
        <f aca="false">IF(K8,G8&amp;"|"&amp;N8,"")</f>
        <v/>
      </c>
    </row>
    <row r="9" customFormat="false" ht="15" hidden="false" customHeight="false" outlineLevel="0" collapsed="false">
      <c r="A9" s="2" t="s">
        <v>35</v>
      </c>
      <c r="B9" s="2" t="s">
        <v>16</v>
      </c>
      <c r="C9" s="2" t="s">
        <v>36</v>
      </c>
      <c r="D9" s="2" t="s">
        <v>37</v>
      </c>
      <c r="E9" s="3" t="n">
        <v>45674</v>
      </c>
      <c r="F9" s="2" t="str">
        <f aca="false">TRIM(C9)</f>
        <v>Henry Ford</v>
      </c>
      <c r="G9" s="2" t="str">
        <f aca="false">LOWER(TRIM(D9))</f>
        <v>henry.ford@example.com</v>
      </c>
      <c r="H9" s="4" t="b">
        <f aca="false">F9=""</f>
        <v>0</v>
      </c>
      <c r="I9" s="4" t="b">
        <f aca="false">G9=""</f>
        <v>0</v>
      </c>
      <c r="J9" s="4" t="b">
        <f aca="false">IF(I9,FALSE(),AND(ISNUMBER(SEARCH("@",G9)),LEN(G9)-LEN(SUBSTITUTE(G9,"@",""))=1,LEFT(G9,1)&lt;&gt;"@",RIGHT(G9,1)&lt;&gt;"@",ISNUMBER(SEARCH(".",G9,SEARCH("@",G9)+2)),RIGHT(G9,1)&lt;&gt;".",LEN(G9)=LEN(SUBSTITUTE(G9," ",""))))</f>
        <v>1</v>
      </c>
      <c r="K9" s="4" t="b">
        <f aca="false">AND(NOT(I9),J9)</f>
        <v>1</v>
      </c>
      <c r="L9" s="4" t="b">
        <f aca="false">OR(H9,NOT(K9))</f>
        <v>0</v>
      </c>
      <c r="M9" s="4" t="b">
        <f aca="false">IF(NOT(K9),"",IF(COUNTIFS(Records!$G$2:$G$27,G9,Records!$K$2:$K$27,TRUE())&gt;1,TRUE(),FALSE()))</f>
        <v>0</v>
      </c>
      <c r="N9" s="2" t="n">
        <f aca="false">IF(K9,SUMPRODUCT((Records!$G$2:$G$27=G9)*(Records!$K$2:$K$27=TRUE())*(Records!$E$2:$E$27&gt;E9))+SUMPRODUCT((Records!$G$2:$G$27=G9)*(Records!$K$2:$K$27=TRUE())*(Records!$E$2:$E$27=E9)*(Records!$A$2:$A$27&gt;A9))+1,"")</f>
        <v>1</v>
      </c>
      <c r="O9" s="2" t="str">
        <f aca="false">IF(K9,G9&amp;"|"&amp;N9,"")</f>
        <v>henry.ford@example.com|1</v>
      </c>
    </row>
    <row r="10" customFormat="false" ht="15" hidden="false" customHeight="false" outlineLevel="0" collapsed="false">
      <c r="A10" s="2" t="s">
        <v>38</v>
      </c>
      <c r="B10" s="2" t="s">
        <v>16</v>
      </c>
      <c r="C10" s="2" t="s">
        <v>39</v>
      </c>
      <c r="D10" s="2" t="s">
        <v>40</v>
      </c>
      <c r="E10" s="3" t="n">
        <v>45675</v>
      </c>
      <c r="F10" s="2" t="str">
        <f aca="false">TRIM(C10)</f>
        <v>Isla Turner</v>
      </c>
      <c r="G10" s="2" t="str">
        <f aca="false">LOWER(TRIM(D10))</f>
        <v>isla.turner@example.com</v>
      </c>
      <c r="H10" s="4" t="b">
        <f aca="false">F10=""</f>
        <v>0</v>
      </c>
      <c r="I10" s="4" t="b">
        <f aca="false">G10=""</f>
        <v>0</v>
      </c>
      <c r="J10" s="4" t="b">
        <f aca="false">IF(I10,FALSE(),AND(ISNUMBER(SEARCH("@",G10)),LEN(G10)-LEN(SUBSTITUTE(G10,"@",""))=1,LEFT(G10,1)&lt;&gt;"@",RIGHT(G10,1)&lt;&gt;"@",ISNUMBER(SEARCH(".",G10,SEARCH("@",G10)+2)),RIGHT(G10,1)&lt;&gt;".",LEN(G10)=LEN(SUBSTITUTE(G10," ",""))))</f>
        <v>1</v>
      </c>
      <c r="K10" s="4" t="b">
        <f aca="false">AND(NOT(I10),J10)</f>
        <v>1</v>
      </c>
      <c r="L10" s="4" t="b">
        <f aca="false">OR(H10,NOT(K10))</f>
        <v>0</v>
      </c>
      <c r="M10" s="4" t="b">
        <f aca="false">IF(NOT(K10),"",IF(COUNTIFS(Records!$G$2:$G$27,G10,Records!$K$2:$K$27,TRUE())&gt;1,TRUE(),FALSE()))</f>
        <v>0</v>
      </c>
      <c r="N10" s="2" t="n">
        <f aca="false">IF(K10,SUMPRODUCT((Records!$G$2:$G$27=G10)*(Records!$K$2:$K$27=TRUE())*(Records!$E$2:$E$27&gt;E10))+SUMPRODUCT((Records!$G$2:$G$27=G10)*(Records!$K$2:$K$27=TRUE())*(Records!$E$2:$E$27=E10)*(Records!$A$2:$A$27&gt;A10))+1,"")</f>
        <v>1</v>
      </c>
      <c r="O10" s="2" t="str">
        <f aca="false">IF(K10,G10&amp;"|"&amp;N10,"")</f>
        <v>isla.turner@example.com|1</v>
      </c>
    </row>
    <row r="11" customFormat="false" ht="15" hidden="false" customHeight="false" outlineLevel="0" collapsed="false">
      <c r="A11" s="2" t="s">
        <v>41</v>
      </c>
      <c r="B11" s="2" t="s">
        <v>16</v>
      </c>
      <c r="C11" s="2" t="s">
        <v>42</v>
      </c>
      <c r="D11" s="2" t="s">
        <v>43</v>
      </c>
      <c r="E11" s="3" t="n">
        <v>45676</v>
      </c>
      <c r="F11" s="2" t="str">
        <f aca="false">TRIM(C11)</f>
        <v>Jack Nolan</v>
      </c>
      <c r="G11" s="2" t="str">
        <f aca="false">LOWER(TRIM(D11))</f>
        <v>jack.nolan@example.com</v>
      </c>
      <c r="H11" s="4" t="b">
        <f aca="false">F11=""</f>
        <v>0</v>
      </c>
      <c r="I11" s="4" t="b">
        <f aca="false">G11=""</f>
        <v>0</v>
      </c>
      <c r="J11" s="4" t="b">
        <f aca="false">IF(I11,FALSE(),AND(ISNUMBER(SEARCH("@",G11)),LEN(G11)-LEN(SUBSTITUTE(G11,"@",""))=1,LEFT(G11,1)&lt;&gt;"@",RIGHT(G11,1)&lt;&gt;"@",ISNUMBER(SEARCH(".",G11,SEARCH("@",G11)+2)),RIGHT(G11,1)&lt;&gt;".",LEN(G11)=LEN(SUBSTITUTE(G11," ",""))))</f>
        <v>1</v>
      </c>
      <c r="K11" s="4" t="b">
        <f aca="false">AND(NOT(I11),J11)</f>
        <v>1</v>
      </c>
      <c r="L11" s="4" t="b">
        <f aca="false">OR(H11,NOT(K11))</f>
        <v>0</v>
      </c>
      <c r="M11" s="4" t="b">
        <f aca="false">IF(NOT(K11),"",IF(COUNTIFS(Records!$G$2:$G$27,G11,Records!$K$2:$K$27,TRUE())&gt;1,TRUE(),FALSE()))</f>
        <v>0</v>
      </c>
      <c r="N11" s="2" t="n">
        <f aca="false">IF(K11,SUMPRODUCT((Records!$G$2:$G$27=G11)*(Records!$K$2:$K$27=TRUE())*(Records!$E$2:$E$27&gt;E11))+SUMPRODUCT((Records!$G$2:$G$27=G11)*(Records!$K$2:$K$27=TRUE())*(Records!$E$2:$E$27=E11)*(Records!$A$2:$A$27&gt;A11))+1,"")</f>
        <v>1</v>
      </c>
      <c r="O11" s="2" t="str">
        <f aca="false">IF(K11,G11&amp;"|"&amp;N11,"")</f>
        <v>jack.nolan@example.com|1</v>
      </c>
    </row>
    <row r="12" customFormat="false" ht="15" hidden="false" customHeight="false" outlineLevel="0" collapsed="false">
      <c r="A12" s="2" t="s">
        <v>44</v>
      </c>
      <c r="B12" s="2" t="s">
        <v>16</v>
      </c>
      <c r="C12" s="2" t="s">
        <v>45</v>
      </c>
      <c r="D12" s="2" t="s">
        <v>46</v>
      </c>
      <c r="E12" s="3" t="n">
        <v>45677</v>
      </c>
      <c r="F12" s="2" t="str">
        <f aca="false">TRIM(C12)</f>
        <v>Karen Diaz</v>
      </c>
      <c r="G12" s="2" t="str">
        <f aca="false">LOWER(TRIM(D12))</f>
        <v>karen.diaz@example.com</v>
      </c>
      <c r="H12" s="4" t="b">
        <f aca="false">F12=""</f>
        <v>0</v>
      </c>
      <c r="I12" s="4" t="b">
        <f aca="false">G12=""</f>
        <v>0</v>
      </c>
      <c r="J12" s="4" t="b">
        <f aca="false">IF(I12,FALSE(),AND(ISNUMBER(SEARCH("@",G12)),LEN(G12)-LEN(SUBSTITUTE(G12,"@",""))=1,LEFT(G12,1)&lt;&gt;"@",RIGHT(G12,1)&lt;&gt;"@",ISNUMBER(SEARCH(".",G12,SEARCH("@",G12)+2)),RIGHT(G12,1)&lt;&gt;".",LEN(G12)=LEN(SUBSTITUTE(G12," ",""))))</f>
        <v>1</v>
      </c>
      <c r="K12" s="4" t="b">
        <f aca="false">AND(NOT(I12),J12)</f>
        <v>1</v>
      </c>
      <c r="L12" s="4" t="b">
        <f aca="false">OR(H12,NOT(K12))</f>
        <v>0</v>
      </c>
      <c r="M12" s="4" t="b">
        <f aca="false">IF(NOT(K12),"",IF(COUNTIFS(Records!$G$2:$G$27,G12,Records!$K$2:$K$27,TRUE())&gt;1,TRUE(),FALSE()))</f>
        <v>0</v>
      </c>
      <c r="N12" s="2" t="n">
        <f aca="false">IF(K12,SUMPRODUCT((Records!$G$2:$G$27=G12)*(Records!$K$2:$K$27=TRUE())*(Records!$E$2:$E$27&gt;E12))+SUMPRODUCT((Records!$G$2:$G$27=G12)*(Records!$K$2:$K$27=TRUE())*(Records!$E$2:$E$27=E12)*(Records!$A$2:$A$27&gt;A12))+1,"")</f>
        <v>1</v>
      </c>
      <c r="O12" s="2" t="str">
        <f aca="false">IF(K12,G12&amp;"|"&amp;N12,"")</f>
        <v>karen.diaz@example.com|1</v>
      </c>
    </row>
    <row r="13" customFormat="false" ht="15" hidden="false" customHeight="false" outlineLevel="0" collapsed="false">
      <c r="A13" s="2" t="s">
        <v>47</v>
      </c>
      <c r="B13" s="2" t="s">
        <v>16</v>
      </c>
      <c r="C13" s="2" t="s">
        <v>48</v>
      </c>
      <c r="D13" s="2" t="s">
        <v>49</v>
      </c>
      <c r="E13" s="3" t="n">
        <v>45678</v>
      </c>
      <c r="F13" s="2" t="str">
        <f aca="false">TRIM(C13)</f>
        <v>Liam Chen</v>
      </c>
      <c r="G13" s="2" t="str">
        <f aca="false">LOWER(TRIM(D13))</f>
        <v>liam.chen@example.com</v>
      </c>
      <c r="H13" s="4" t="b">
        <f aca="false">F13=""</f>
        <v>0</v>
      </c>
      <c r="I13" s="4" t="b">
        <f aca="false">G13=""</f>
        <v>0</v>
      </c>
      <c r="J13" s="4" t="b">
        <f aca="false">IF(I13,FALSE(),AND(ISNUMBER(SEARCH("@",G13)),LEN(G13)-LEN(SUBSTITUTE(G13,"@",""))=1,LEFT(G13,1)&lt;&gt;"@",RIGHT(G13,1)&lt;&gt;"@",ISNUMBER(SEARCH(".",G13,SEARCH("@",G13)+2)),RIGHT(G13,1)&lt;&gt;".",LEN(G13)=LEN(SUBSTITUTE(G13," ",""))))</f>
        <v>1</v>
      </c>
      <c r="K13" s="4" t="b">
        <f aca="false">AND(NOT(I13),J13)</f>
        <v>1</v>
      </c>
      <c r="L13" s="4" t="b">
        <f aca="false">OR(H13,NOT(K13))</f>
        <v>0</v>
      </c>
      <c r="M13" s="4" t="b">
        <f aca="false">IF(NOT(K13),"",IF(COUNTIFS(Records!$G$2:$G$27,G13,Records!$K$2:$K$27,TRUE())&gt;1,TRUE(),FALSE()))</f>
        <v>0</v>
      </c>
      <c r="N13" s="2" t="n">
        <f aca="false">IF(K13,SUMPRODUCT((Records!$G$2:$G$27=G13)*(Records!$K$2:$K$27=TRUE())*(Records!$E$2:$E$27&gt;E13))+SUMPRODUCT((Records!$G$2:$G$27=G13)*(Records!$K$2:$K$27=TRUE())*(Records!$E$2:$E$27=E13)*(Records!$A$2:$A$27&gt;A13))+1,"")</f>
        <v>1</v>
      </c>
      <c r="O13" s="2" t="str">
        <f aca="false">IF(K13,G13&amp;"|"&amp;N13,"")</f>
        <v>liam.chen@example.com|1</v>
      </c>
    </row>
    <row r="14" customFormat="false" ht="15" hidden="false" customHeight="false" outlineLevel="0" collapsed="false">
      <c r="A14" s="2" t="s">
        <v>50</v>
      </c>
      <c r="B14" s="2" t="s">
        <v>16</v>
      </c>
      <c r="C14" s="2" t="s">
        <v>51</v>
      </c>
      <c r="D14" s="2" t="s">
        <v>52</v>
      </c>
      <c r="E14" s="3" t="n">
        <v>45679</v>
      </c>
      <c r="F14" s="2" t="str">
        <f aca="false">TRIM(C14)</f>
        <v>Mona Patel</v>
      </c>
      <c r="G14" s="2" t="str">
        <f aca="false">LOWER(TRIM(D14))</f>
        <v>mona.patel@@example.com</v>
      </c>
      <c r="H14" s="4" t="b">
        <f aca="false">F14=""</f>
        <v>0</v>
      </c>
      <c r="I14" s="4" t="b">
        <f aca="false">G14=""</f>
        <v>0</v>
      </c>
      <c r="J14" s="4" t="b">
        <f aca="false">IF(I14,FALSE(),AND(ISNUMBER(SEARCH("@",G14)),LEN(G14)-LEN(SUBSTITUTE(G14,"@",""))=1,LEFT(G14,1)&lt;&gt;"@",RIGHT(G14,1)&lt;&gt;"@",ISNUMBER(SEARCH(".",G14,SEARCH("@",G14)+2)),RIGHT(G14,1)&lt;&gt;".",LEN(G14)=LEN(SUBSTITUTE(G14," ",""))))</f>
        <v>0</v>
      </c>
      <c r="K14" s="4" t="b">
        <f aca="false">AND(NOT(I14),J14)</f>
        <v>0</v>
      </c>
      <c r="L14" s="4" t="b">
        <f aca="false">OR(H14,NOT(K14))</f>
        <v>1</v>
      </c>
      <c r="M14" s="2" t="str">
        <f aca="false">IF(NOT(K14),"",IF(COUNTIFS(Records!$G$2:$G$27,G14,Records!$K$2:$K$27,TRUE())&gt;1,TRUE(),FALSE()))</f>
        <v/>
      </c>
      <c r="N14" s="2" t="str">
        <f aca="false">IF(K14,SUMPRODUCT((Records!$G$2:$G$27=G14)*(Records!$K$2:$K$27=TRUE())*(Records!$E$2:$E$27&gt;E14))+SUMPRODUCT((Records!$G$2:$G$27=G14)*(Records!$K$2:$K$27=TRUE())*(Records!$E$2:$E$27=E14)*(Records!$A$2:$A$27&gt;A14))+1,"")</f>
        <v/>
      </c>
      <c r="O14" s="2" t="str">
        <f aca="false">IF(K14,G14&amp;"|"&amp;N14,"")</f>
        <v/>
      </c>
    </row>
    <row r="15" customFormat="false" ht="15" hidden="false" customHeight="false" outlineLevel="0" collapsed="false">
      <c r="A15" s="2" t="s">
        <v>53</v>
      </c>
      <c r="B15" s="2" t="s">
        <v>16</v>
      </c>
      <c r="C15" s="2" t="s">
        <v>54</v>
      </c>
      <c r="D15" s="2" t="s">
        <v>55</v>
      </c>
      <c r="E15" s="3" t="n">
        <v>45680</v>
      </c>
      <c r="F15" s="2" t="str">
        <f aca="false">TRIM(C15)</f>
        <v>Noah White</v>
      </c>
      <c r="G15" s="2" t="str">
        <f aca="false">LOWER(TRIM(D15))</f>
        <v>noah.white@example.com</v>
      </c>
      <c r="H15" s="4" t="b">
        <f aca="false">F15=""</f>
        <v>0</v>
      </c>
      <c r="I15" s="4" t="b">
        <f aca="false">G15=""</f>
        <v>0</v>
      </c>
      <c r="J15" s="4" t="b">
        <f aca="false">IF(I15,FALSE(),AND(ISNUMBER(SEARCH("@",G15)),LEN(G15)-LEN(SUBSTITUTE(G15,"@",""))=1,LEFT(G15,1)&lt;&gt;"@",RIGHT(G15,1)&lt;&gt;"@",ISNUMBER(SEARCH(".",G15,SEARCH("@",G15)+2)),RIGHT(G15,1)&lt;&gt;".",LEN(G15)=LEN(SUBSTITUTE(G15," ",""))))</f>
        <v>1</v>
      </c>
      <c r="K15" s="4" t="b">
        <f aca="false">AND(NOT(I15),J15)</f>
        <v>1</v>
      </c>
      <c r="L15" s="4" t="b">
        <f aca="false">OR(H15,NOT(K15))</f>
        <v>0</v>
      </c>
      <c r="M15" s="4" t="b">
        <f aca="false">IF(NOT(K15),"",IF(COUNTIFS(Records!$G$2:$G$27,G15,Records!$K$2:$K$27,TRUE())&gt;1,TRUE(),FALSE()))</f>
        <v>0</v>
      </c>
      <c r="N15" s="2" t="n">
        <f aca="false">IF(K15,SUMPRODUCT((Records!$G$2:$G$27=G15)*(Records!$K$2:$K$27=TRUE())*(Records!$E$2:$E$27&gt;E15))+SUMPRODUCT((Records!$G$2:$G$27=G15)*(Records!$K$2:$K$27=TRUE())*(Records!$E$2:$E$27=E15)*(Records!$A$2:$A$27&gt;A15))+1,"")</f>
        <v>1</v>
      </c>
      <c r="O15" s="2" t="str">
        <f aca="false">IF(K15,G15&amp;"|"&amp;N15,"")</f>
        <v>noah.white@example.com|1</v>
      </c>
    </row>
    <row r="16" customFormat="false" ht="15" hidden="false" customHeight="false" outlineLevel="0" collapsed="false">
      <c r="A16" s="2" t="s">
        <v>56</v>
      </c>
      <c r="B16" s="2" t="s">
        <v>16</v>
      </c>
      <c r="C16" s="2" t="s">
        <v>57</v>
      </c>
      <c r="D16" s="2" t="s">
        <v>58</v>
      </c>
      <c r="E16" s="3" t="n">
        <v>45681</v>
      </c>
      <c r="F16" s="2" t="str">
        <f aca="false">TRIM(C16)</f>
        <v>Olivia Brooks</v>
      </c>
      <c r="G16" s="2" t="str">
        <f aca="false">LOWER(TRIM(D16))</f>
        <v>olivia.brooks@example.com</v>
      </c>
      <c r="H16" s="4" t="b">
        <f aca="false">F16=""</f>
        <v>0</v>
      </c>
      <c r="I16" s="4" t="b">
        <f aca="false">G16=""</f>
        <v>0</v>
      </c>
      <c r="J16" s="4" t="b">
        <f aca="false">IF(I16,FALSE(),AND(ISNUMBER(SEARCH("@",G16)),LEN(G16)-LEN(SUBSTITUTE(G16,"@",""))=1,LEFT(G16,1)&lt;&gt;"@",RIGHT(G16,1)&lt;&gt;"@",ISNUMBER(SEARCH(".",G16,SEARCH("@",G16)+2)),RIGHT(G16,1)&lt;&gt;".",LEN(G16)=LEN(SUBSTITUTE(G16," ",""))))</f>
        <v>1</v>
      </c>
      <c r="K16" s="4" t="b">
        <f aca="false">AND(NOT(I16),J16)</f>
        <v>1</v>
      </c>
      <c r="L16" s="4" t="b">
        <f aca="false">OR(H16,NOT(K16))</f>
        <v>0</v>
      </c>
      <c r="M16" s="4" t="b">
        <f aca="false">IF(NOT(K16),"",IF(COUNTIFS(Records!$G$2:$G$27,G16,Records!$K$2:$K$27,TRUE())&gt;1,TRUE(),FALSE()))</f>
        <v>0</v>
      </c>
      <c r="N16" s="2" t="n">
        <f aca="false">IF(K16,SUMPRODUCT((Records!$G$2:$G$27=G16)*(Records!$K$2:$K$27=TRUE())*(Records!$E$2:$E$27&gt;E16))+SUMPRODUCT((Records!$G$2:$G$27=G16)*(Records!$K$2:$K$27=TRUE())*(Records!$E$2:$E$27=E16)*(Records!$A$2:$A$27&gt;A16))+1,"")</f>
        <v>1</v>
      </c>
      <c r="O16" s="2" t="str">
        <f aca="false">IF(K16,G16&amp;"|"&amp;N16,"")</f>
        <v>olivia.brooks@example.com|1</v>
      </c>
    </row>
    <row r="17" customFormat="false" ht="15" hidden="false" customHeight="false" outlineLevel="0" collapsed="false">
      <c r="A17" s="2" t="s">
        <v>59</v>
      </c>
      <c r="B17" s="2" t="s">
        <v>16</v>
      </c>
      <c r="C17" s="2" t="s">
        <v>60</v>
      </c>
      <c r="D17" s="2" t="s">
        <v>61</v>
      </c>
      <c r="E17" s="3" t="n">
        <v>45682</v>
      </c>
      <c r="F17" s="2" t="str">
        <f aca="false">TRIM(C17)</f>
        <v>Bob Smith</v>
      </c>
      <c r="G17" s="2" t="str">
        <f aca="false">LOWER(TRIM(D17))</f>
        <v>bob.smith@example.com</v>
      </c>
      <c r="H17" s="4" t="b">
        <f aca="false">F17=""</f>
        <v>0</v>
      </c>
      <c r="I17" s="4" t="b">
        <f aca="false">G17=""</f>
        <v>0</v>
      </c>
      <c r="J17" s="4" t="b">
        <f aca="false">IF(I17,FALSE(),AND(ISNUMBER(SEARCH("@",G17)),LEN(G17)-LEN(SUBSTITUTE(G17,"@",""))=1,LEFT(G17,1)&lt;&gt;"@",RIGHT(G17,1)&lt;&gt;"@",ISNUMBER(SEARCH(".",G17,SEARCH("@",G17)+2)),RIGHT(G17,1)&lt;&gt;".",LEN(G17)=LEN(SUBSTITUTE(G17," ",""))))</f>
        <v>1</v>
      </c>
      <c r="K17" s="4" t="b">
        <f aca="false">AND(NOT(I17),J17)</f>
        <v>1</v>
      </c>
      <c r="L17" s="4" t="b">
        <f aca="false">OR(H17,NOT(K17))</f>
        <v>0</v>
      </c>
      <c r="M17" s="4" t="b">
        <f aca="false">IF(NOT(K17),"",IF(COUNTIFS(Records!$G$2:$G$27,G17,Records!$K$2:$K$27,TRUE())&gt;1,TRUE(),FALSE()))</f>
        <v>1</v>
      </c>
      <c r="N17" s="2" t="n">
        <f aca="false">IF(K17,SUMPRODUCT((Records!$G$2:$G$27=G17)*(Records!$K$2:$K$27=TRUE())*(Records!$E$2:$E$27&gt;E17))+SUMPRODUCT((Records!$G$2:$G$27=G17)*(Records!$K$2:$K$27=TRUE())*(Records!$E$2:$E$27=E17)*(Records!$A$2:$A$27&gt;A17))+1,"")</f>
        <v>2</v>
      </c>
      <c r="O17" s="2" t="str">
        <f aca="false">IF(K17,G17&amp;"|"&amp;N17,"")</f>
        <v>bob.smith@example.com|2</v>
      </c>
    </row>
    <row r="18" customFormat="false" ht="15" hidden="false" customHeight="false" outlineLevel="0" collapsed="false">
      <c r="A18" s="2" t="s">
        <v>62</v>
      </c>
      <c r="B18" s="2" t="s">
        <v>16</v>
      </c>
      <c r="C18" s="2" t="s">
        <v>63</v>
      </c>
      <c r="D18" s="2" t="s">
        <v>64</v>
      </c>
      <c r="E18" s="3" t="n">
        <v>45670</v>
      </c>
      <c r="F18" s="2" t="str">
        <f aca="false">TRIM(C18)</f>
        <v>Carla G. Martinez</v>
      </c>
      <c r="G18" s="2" t="str">
        <f aca="false">LOWER(TRIM(D18))</f>
        <v>carla.gomez@example.com</v>
      </c>
      <c r="H18" s="4" t="b">
        <f aca="false">F18=""</f>
        <v>0</v>
      </c>
      <c r="I18" s="4" t="b">
        <f aca="false">G18=""</f>
        <v>0</v>
      </c>
      <c r="J18" s="4" t="b">
        <f aca="false">IF(I18,FALSE(),AND(ISNUMBER(SEARCH("@",G18)),LEN(G18)-LEN(SUBSTITUTE(G18,"@",""))=1,LEFT(G18,1)&lt;&gt;"@",RIGHT(G18,1)&lt;&gt;"@",ISNUMBER(SEARCH(".",G18,SEARCH("@",G18)+2)),RIGHT(G18,1)&lt;&gt;".",LEN(G18)=LEN(SUBSTITUTE(G18," ",""))))</f>
        <v>1</v>
      </c>
      <c r="K18" s="4" t="b">
        <f aca="false">AND(NOT(I18),J18)</f>
        <v>1</v>
      </c>
      <c r="L18" s="4" t="b">
        <f aca="false">OR(H18,NOT(K18))</f>
        <v>0</v>
      </c>
      <c r="M18" s="4" t="b">
        <f aca="false">IF(NOT(K18),"",IF(COUNTIFS(Records!$G$2:$G$27,G18,Records!$K$2:$K$27,TRUE())&gt;1,TRUE(),FALSE()))</f>
        <v>1</v>
      </c>
      <c r="N18" s="2" t="n">
        <f aca="false">IF(K18,SUMPRODUCT((Records!$G$2:$G$27=G18)*(Records!$K$2:$K$27=TRUE())*(Records!$E$2:$E$27&gt;E18))+SUMPRODUCT((Records!$G$2:$G$27=G18)*(Records!$K$2:$K$27=TRUE())*(Records!$E$2:$E$27=E18)*(Records!$A$2:$A$27&gt;A18))+1,"")</f>
        <v>1</v>
      </c>
      <c r="O18" s="2" t="str">
        <f aca="false">IF(K18,G18&amp;"|"&amp;N18,"")</f>
        <v>carla.gomez@example.com|1</v>
      </c>
    </row>
    <row r="19" customFormat="false" ht="15" hidden="false" customHeight="false" outlineLevel="0" collapsed="false">
      <c r="A19" s="2" t="s">
        <v>65</v>
      </c>
      <c r="B19" s="2" t="s">
        <v>16</v>
      </c>
      <c r="C19" s="2" t="s">
        <v>66</v>
      </c>
      <c r="D19" s="2" t="s">
        <v>67</v>
      </c>
      <c r="E19" s="3" t="n">
        <v>45683</v>
      </c>
      <c r="F19" s="2" t="str">
        <f aca="false">TRIM(C19)</f>
        <v>Priya Shah</v>
      </c>
      <c r="G19" s="2" t="str">
        <f aca="false">LOWER(TRIM(D19))</f>
        <v>priya.shah@example.com</v>
      </c>
      <c r="H19" s="4" t="b">
        <f aca="false">F19=""</f>
        <v>0</v>
      </c>
      <c r="I19" s="4" t="b">
        <f aca="false">G19=""</f>
        <v>0</v>
      </c>
      <c r="J19" s="4" t="b">
        <f aca="false">IF(I19,FALSE(),AND(ISNUMBER(SEARCH("@",G19)),LEN(G19)-LEN(SUBSTITUTE(G19,"@",""))=1,LEFT(G19,1)&lt;&gt;"@",RIGHT(G19,1)&lt;&gt;"@",ISNUMBER(SEARCH(".",G19,SEARCH("@",G19)+2)),RIGHT(G19,1)&lt;&gt;".",LEN(G19)=LEN(SUBSTITUTE(G19," ",""))))</f>
        <v>1</v>
      </c>
      <c r="K19" s="4" t="b">
        <f aca="false">AND(NOT(I19),J19)</f>
        <v>1</v>
      </c>
      <c r="L19" s="4" t="b">
        <f aca="false">OR(H19,NOT(K19))</f>
        <v>0</v>
      </c>
      <c r="M19" s="4" t="b">
        <f aca="false">IF(NOT(K19),"",IF(COUNTIFS(Records!$G$2:$G$27,G19,Records!$K$2:$K$27,TRUE())&gt;1,TRUE(),FALSE()))</f>
        <v>0</v>
      </c>
      <c r="N19" s="2" t="n">
        <f aca="false">IF(K19,SUMPRODUCT((Records!$G$2:$G$27=G19)*(Records!$K$2:$K$27=TRUE())*(Records!$E$2:$E$27&gt;E19))+SUMPRODUCT((Records!$G$2:$G$27=G19)*(Records!$K$2:$K$27=TRUE())*(Records!$E$2:$E$27=E19)*(Records!$A$2:$A$27&gt;A19))+1,"")</f>
        <v>1</v>
      </c>
      <c r="O19" s="2" t="str">
        <f aca="false">IF(K19,G19&amp;"|"&amp;N19,"")</f>
        <v>priya.shah@example.com|1</v>
      </c>
    </row>
    <row r="20" customFormat="false" ht="15" hidden="false" customHeight="false" outlineLevel="0" collapsed="false">
      <c r="A20" s="5" t="s">
        <v>68</v>
      </c>
      <c r="B20" s="5" t="s">
        <v>69</v>
      </c>
      <c r="C20" s="5" t="s">
        <v>70</v>
      </c>
      <c r="D20" s="5" t="s">
        <v>71</v>
      </c>
      <c r="E20" s="6" t="n">
        <v>45689</v>
      </c>
      <c r="F20" s="5" t="str">
        <f aca="false">TRIM(C20)</f>
        <v>Quinn Adams</v>
      </c>
      <c r="G20" s="5" t="str">
        <f aca="false">LOWER(TRIM(D20))</f>
        <v>quinn.adams@example.com</v>
      </c>
      <c r="H20" s="7" t="b">
        <f aca="false">F20=""</f>
        <v>0</v>
      </c>
      <c r="I20" s="7" t="b">
        <f aca="false">G20=""</f>
        <v>0</v>
      </c>
      <c r="J20" s="7" t="b">
        <f aca="false">IF(I20,FALSE(),AND(ISNUMBER(SEARCH("@",G20)),LEN(G20)-LEN(SUBSTITUTE(G20,"@",""))=1,LEFT(G20,1)&lt;&gt;"@",RIGHT(G20,1)&lt;&gt;"@",ISNUMBER(SEARCH(".",G20,SEARCH("@",G20)+2)),RIGHT(G20,1)&lt;&gt;".",LEN(G20)=LEN(SUBSTITUTE(G20," ",""))))</f>
        <v>1</v>
      </c>
      <c r="K20" s="7" t="b">
        <f aca="false">AND(NOT(I20),J20)</f>
        <v>1</v>
      </c>
      <c r="L20" s="7" t="b">
        <f aca="false">OR(H20,NOT(K20))</f>
        <v>0</v>
      </c>
      <c r="M20" s="7" t="b">
        <f aca="false">IF(NOT(K20),"",IF(COUNTIFS(Records!$G$2:$G$27,G20,Records!$K$2:$K$27,TRUE())&gt;1,TRUE(),FALSE()))</f>
        <v>0</v>
      </c>
      <c r="N20" s="5" t="n">
        <f aca="false">IF(K20,SUMPRODUCT((Records!$G$2:$G$27=G20)*(Records!$K$2:$K$27=TRUE())*(Records!$E$2:$E$27&gt;E20))+SUMPRODUCT((Records!$G$2:$G$27=G20)*(Records!$K$2:$K$27=TRUE())*(Records!$E$2:$E$27=E20)*(Records!$A$2:$A$27&gt;A20))+1,"")</f>
        <v>1</v>
      </c>
      <c r="O20" s="5" t="str">
        <f aca="false">IF(K20,G20&amp;"|"&amp;N20,"")</f>
        <v>quinn.adams@example.com|1</v>
      </c>
    </row>
    <row r="21" customFormat="false" ht="15" hidden="false" customHeight="false" outlineLevel="0" collapsed="false">
      <c r="A21" s="5" t="s">
        <v>72</v>
      </c>
      <c r="B21" s="5" t="s">
        <v>69</v>
      </c>
      <c r="C21" s="5" t="s">
        <v>20</v>
      </c>
      <c r="D21" s="5" t="s">
        <v>61</v>
      </c>
      <c r="E21" s="6" t="n">
        <v>45690</v>
      </c>
      <c r="F21" s="5" t="str">
        <f aca="false">TRIM(C21)</f>
        <v>Bob Smith</v>
      </c>
      <c r="G21" s="5" t="str">
        <f aca="false">LOWER(TRIM(D21))</f>
        <v>bob.smith@example.com</v>
      </c>
      <c r="H21" s="7" t="b">
        <f aca="false">F21=""</f>
        <v>0</v>
      </c>
      <c r="I21" s="7" t="b">
        <f aca="false">G21=""</f>
        <v>0</v>
      </c>
      <c r="J21" s="7" t="b">
        <f aca="false">IF(I21,FALSE(),AND(ISNUMBER(SEARCH("@",G21)),LEN(G21)-LEN(SUBSTITUTE(G21,"@",""))=1,LEFT(G21,1)&lt;&gt;"@",RIGHT(G21,1)&lt;&gt;"@",ISNUMBER(SEARCH(".",G21,SEARCH("@",G21)+2)),RIGHT(G21,1)&lt;&gt;".",LEN(G21)=LEN(SUBSTITUTE(G21," ",""))))</f>
        <v>1</v>
      </c>
      <c r="K21" s="7" t="b">
        <f aca="false">AND(NOT(I21),J21)</f>
        <v>1</v>
      </c>
      <c r="L21" s="7" t="b">
        <f aca="false">OR(H21,NOT(K21))</f>
        <v>0</v>
      </c>
      <c r="M21" s="7" t="b">
        <f aca="false">IF(NOT(K21),"",IF(COUNTIFS(Records!$G$2:$G$27,G21,Records!$K$2:$K$27,TRUE())&gt;1,TRUE(),FALSE()))</f>
        <v>1</v>
      </c>
      <c r="N21" s="5" t="n">
        <f aca="false">IF(K21,SUMPRODUCT((Records!$G$2:$G$27=G21)*(Records!$K$2:$K$27=TRUE())*(Records!$E$2:$E$27&gt;E21))+SUMPRODUCT((Records!$G$2:$G$27=G21)*(Records!$K$2:$K$27=TRUE())*(Records!$E$2:$E$27=E21)*(Records!$A$2:$A$27&gt;A21))+1,"")</f>
        <v>1</v>
      </c>
      <c r="O21" s="5" t="str">
        <f aca="false">IF(K21,G21&amp;"|"&amp;N21,"")</f>
        <v>bob.smith@example.com|1</v>
      </c>
    </row>
    <row r="22" customFormat="false" ht="15" hidden="false" customHeight="false" outlineLevel="0" collapsed="false">
      <c r="A22" s="5" t="s">
        <v>73</v>
      </c>
      <c r="B22" s="5" t="s">
        <v>69</v>
      </c>
      <c r="C22" s="5"/>
      <c r="D22" s="5"/>
      <c r="E22" s="6" t="n">
        <v>45691</v>
      </c>
      <c r="F22" s="5" t="str">
        <f aca="false">TRIM(C22)</f>
        <v/>
      </c>
      <c r="G22" s="5" t="str">
        <f aca="false">LOWER(TRIM(D22))</f>
        <v/>
      </c>
      <c r="H22" s="7" t="b">
        <f aca="false">F22=""</f>
        <v>1</v>
      </c>
      <c r="I22" s="7" t="b">
        <f aca="false">G22=""</f>
        <v>1</v>
      </c>
      <c r="J22" s="7" t="b">
        <f aca="false">IF(I22,FALSE(),AND(ISNUMBER(SEARCH("@",G22)),LEN(G22)-LEN(SUBSTITUTE(G22,"@",""))=1,LEFT(G22,1)&lt;&gt;"@",RIGHT(G22,1)&lt;&gt;"@",ISNUMBER(SEARCH(".",G22,SEARCH("@",G22)+2)),RIGHT(G22,1)&lt;&gt;".",LEN(G22)=LEN(SUBSTITUTE(G22," ",""))))</f>
        <v>0</v>
      </c>
      <c r="K22" s="7" t="b">
        <f aca="false">AND(NOT(I22),J22)</f>
        <v>0</v>
      </c>
      <c r="L22" s="7" t="b">
        <f aca="false">OR(H22,NOT(K22))</f>
        <v>1</v>
      </c>
      <c r="M22" s="5" t="str">
        <f aca="false">IF(NOT(K22),"",IF(COUNTIFS(Records!$G$2:$G$27,G22,Records!$K$2:$K$27,TRUE())&gt;1,TRUE(),FALSE()))</f>
        <v/>
      </c>
      <c r="N22" s="5" t="str">
        <f aca="false">IF(K22,SUMPRODUCT((Records!$G$2:$G$27=G22)*(Records!$K$2:$K$27=TRUE())*(Records!$E$2:$E$27&gt;E22))+SUMPRODUCT((Records!$G$2:$G$27=G22)*(Records!$K$2:$K$27=TRUE())*(Records!$E$2:$E$27=E22)*(Records!$A$2:$A$27&gt;A22))+1,"")</f>
        <v/>
      </c>
      <c r="O22" s="5" t="str">
        <f aca="false">IF(K22,G22&amp;"|"&amp;N22,"")</f>
        <v/>
      </c>
    </row>
    <row r="23" customFormat="false" ht="15" hidden="false" customHeight="false" outlineLevel="0" collapsed="false">
      <c r="A23" s="5" t="s">
        <v>74</v>
      </c>
      <c r="B23" s="5" t="s">
        <v>69</v>
      </c>
      <c r="C23" s="5" t="s">
        <v>75</v>
      </c>
      <c r="D23" s="5" t="s">
        <v>32</v>
      </c>
      <c r="E23" s="6" t="n">
        <v>45692</v>
      </c>
      <c r="F23" s="5" t="str">
        <f aca="false">TRIM(C23)</f>
        <v>Frank Miller</v>
      </c>
      <c r="G23" s="5" t="str">
        <f aca="false">LOWER(TRIM(D23))</f>
        <v>frank.miller@example.com</v>
      </c>
      <c r="H23" s="7" t="b">
        <f aca="false">F23=""</f>
        <v>0</v>
      </c>
      <c r="I23" s="7" t="b">
        <f aca="false">G23=""</f>
        <v>0</v>
      </c>
      <c r="J23" s="7" t="b">
        <f aca="false">IF(I23,FALSE(),AND(ISNUMBER(SEARCH("@",G23)),LEN(G23)-LEN(SUBSTITUTE(G23,"@",""))=1,LEFT(G23,1)&lt;&gt;"@",RIGHT(G23,1)&lt;&gt;"@",ISNUMBER(SEARCH(".",G23,SEARCH("@",G23)+2)),RIGHT(G23,1)&lt;&gt;".",LEN(G23)=LEN(SUBSTITUTE(G23," ",""))))</f>
        <v>1</v>
      </c>
      <c r="K23" s="7" t="b">
        <f aca="false">AND(NOT(I23),J23)</f>
        <v>1</v>
      </c>
      <c r="L23" s="7" t="b">
        <f aca="false">OR(H23,NOT(K23))</f>
        <v>0</v>
      </c>
      <c r="M23" s="7" t="b">
        <f aca="false">IF(NOT(K23),"",IF(COUNTIFS(Records!$G$2:$G$27,G23,Records!$K$2:$K$27,TRUE())&gt;1,TRUE(),FALSE()))</f>
        <v>1</v>
      </c>
      <c r="N23" s="5" t="n">
        <f aca="false">IF(K23,SUMPRODUCT((Records!$G$2:$G$27=G23)*(Records!$K$2:$K$27=TRUE())*(Records!$E$2:$E$27&gt;E23))+SUMPRODUCT((Records!$G$2:$G$27=G23)*(Records!$K$2:$K$27=TRUE())*(Records!$E$2:$E$27=E23)*(Records!$A$2:$A$27&gt;A23))+1,"")</f>
        <v>1</v>
      </c>
      <c r="O23" s="5" t="str">
        <f aca="false">IF(K23,G23&amp;"|"&amp;N23,"")</f>
        <v>frank.miller@example.com|1</v>
      </c>
    </row>
    <row r="24" customFormat="false" ht="15" hidden="false" customHeight="false" outlineLevel="0" collapsed="false">
      <c r="A24" s="5" t="s">
        <v>76</v>
      </c>
      <c r="B24" s="5" t="s">
        <v>69</v>
      </c>
      <c r="C24" s="5" t="s">
        <v>77</v>
      </c>
      <c r="D24" s="5" t="s">
        <v>78</v>
      </c>
      <c r="E24" s="6" t="n">
        <v>45693</v>
      </c>
      <c r="F24" s="5" t="str">
        <f aca="false">TRIM(C24)</f>
        <v>Rita O'Connor</v>
      </c>
      <c r="G24" s="5" t="str">
        <f aca="false">LOWER(TRIM(D24))</f>
        <v>rita.oconnor@example.com</v>
      </c>
      <c r="H24" s="7" t="b">
        <f aca="false">F24=""</f>
        <v>0</v>
      </c>
      <c r="I24" s="7" t="b">
        <f aca="false">G24=""</f>
        <v>0</v>
      </c>
      <c r="J24" s="7" t="b">
        <f aca="false">IF(I24,FALSE(),AND(ISNUMBER(SEARCH("@",G24)),LEN(G24)-LEN(SUBSTITUTE(G24,"@",""))=1,LEFT(G24,1)&lt;&gt;"@",RIGHT(G24,1)&lt;&gt;"@",ISNUMBER(SEARCH(".",G24,SEARCH("@",G24)+2)),RIGHT(G24,1)&lt;&gt;".",LEN(G24)=LEN(SUBSTITUTE(G24," ",""))))</f>
        <v>1</v>
      </c>
      <c r="K24" s="7" t="b">
        <f aca="false">AND(NOT(I24),J24)</f>
        <v>1</v>
      </c>
      <c r="L24" s="7" t="b">
        <f aca="false">OR(H24,NOT(K24))</f>
        <v>0</v>
      </c>
      <c r="M24" s="7" t="b">
        <f aca="false">IF(NOT(K24),"",IF(COUNTIFS(Records!$G$2:$G$27,G24,Records!$K$2:$K$27,TRUE())&gt;1,TRUE(),FALSE()))</f>
        <v>0</v>
      </c>
      <c r="N24" s="5" t="n">
        <f aca="false">IF(K24,SUMPRODUCT((Records!$G$2:$G$27=G24)*(Records!$K$2:$K$27=TRUE())*(Records!$E$2:$E$27&gt;E24))+SUMPRODUCT((Records!$G$2:$G$27=G24)*(Records!$K$2:$K$27=TRUE())*(Records!$E$2:$E$27=E24)*(Records!$A$2:$A$27&gt;A24))+1,"")</f>
        <v>1</v>
      </c>
      <c r="O24" s="5" t="str">
        <f aca="false">IF(K24,G24&amp;"|"&amp;N24,"")</f>
        <v>rita.oconnor@example.com|1</v>
      </c>
    </row>
    <row r="25" customFormat="false" ht="15" hidden="false" customHeight="false" outlineLevel="0" collapsed="false">
      <c r="A25" s="5" t="s">
        <v>79</v>
      </c>
      <c r="B25" s="5" t="s">
        <v>69</v>
      </c>
      <c r="C25" s="5" t="s">
        <v>80</v>
      </c>
      <c r="D25" s="5" t="s">
        <v>81</v>
      </c>
      <c r="E25" s="6" t="n">
        <v>45694</v>
      </c>
      <c r="F25" s="5" t="str">
        <f aca="false">TRIM(C25)</f>
        <v>Sam Young</v>
      </c>
      <c r="G25" s="5" t="str">
        <f aca="false">LOWER(TRIM(D25))</f>
        <v>sam.young@example.com</v>
      </c>
      <c r="H25" s="7" t="b">
        <f aca="false">F25=""</f>
        <v>0</v>
      </c>
      <c r="I25" s="7" t="b">
        <f aca="false">G25=""</f>
        <v>0</v>
      </c>
      <c r="J25" s="7" t="b">
        <f aca="false">IF(I25,FALSE(),AND(ISNUMBER(SEARCH("@",G25)),LEN(G25)-LEN(SUBSTITUTE(G25,"@",""))=1,LEFT(G25,1)&lt;&gt;"@",RIGHT(G25,1)&lt;&gt;"@",ISNUMBER(SEARCH(".",G25,SEARCH("@",G25)+2)),RIGHT(G25,1)&lt;&gt;".",LEN(G25)=LEN(SUBSTITUTE(G25," ",""))))</f>
        <v>1</v>
      </c>
      <c r="K25" s="7" t="b">
        <f aca="false">AND(NOT(I25),J25)</f>
        <v>1</v>
      </c>
      <c r="L25" s="7" t="b">
        <f aca="false">OR(H25,NOT(K25))</f>
        <v>0</v>
      </c>
      <c r="M25" s="7" t="b">
        <f aca="false">IF(NOT(K25),"",IF(COUNTIFS(Records!$G$2:$G$27,G25,Records!$K$2:$K$27,TRUE())&gt;1,TRUE(),FALSE()))</f>
        <v>0</v>
      </c>
      <c r="N25" s="5" t="n">
        <f aca="false">IF(K25,SUMPRODUCT((Records!$G$2:$G$27=G25)*(Records!$K$2:$K$27=TRUE())*(Records!$E$2:$E$27&gt;E25))+SUMPRODUCT((Records!$G$2:$G$27=G25)*(Records!$K$2:$K$27=TRUE())*(Records!$E$2:$E$27=E25)*(Records!$A$2:$A$27&gt;A25))+1,"")</f>
        <v>1</v>
      </c>
      <c r="O25" s="5" t="str">
        <f aca="false">IF(K25,G25&amp;"|"&amp;N25,"")</f>
        <v>sam.young@example.com|1</v>
      </c>
    </row>
    <row r="26" customFormat="false" ht="15" hidden="false" customHeight="false" outlineLevel="0" collapsed="false">
      <c r="A26" s="5" t="s">
        <v>82</v>
      </c>
      <c r="B26" s="5" t="s">
        <v>69</v>
      </c>
      <c r="C26" s="5" t="s">
        <v>34</v>
      </c>
      <c r="D26" s="5" t="s">
        <v>83</v>
      </c>
      <c r="E26" s="6" t="n">
        <v>45695</v>
      </c>
      <c r="F26" s="5" t="str">
        <f aca="false">TRIM(C26)</f>
        <v>Grace Kim</v>
      </c>
      <c r="G26" s="5" t="str">
        <f aca="false">LOWER(TRIM(D26))</f>
        <v>grace.kim@example.com</v>
      </c>
      <c r="H26" s="7" t="b">
        <f aca="false">F26=""</f>
        <v>0</v>
      </c>
      <c r="I26" s="7" t="b">
        <f aca="false">G26=""</f>
        <v>0</v>
      </c>
      <c r="J26" s="7" t="b">
        <f aca="false">IF(I26,FALSE(),AND(ISNUMBER(SEARCH("@",G26)),LEN(G26)-LEN(SUBSTITUTE(G26,"@",""))=1,LEFT(G26,1)&lt;&gt;"@",RIGHT(G26,1)&lt;&gt;"@",ISNUMBER(SEARCH(".",G26,SEARCH("@",G26)+2)),RIGHT(G26,1)&lt;&gt;".",LEN(G26)=LEN(SUBSTITUTE(G26," ",""))))</f>
        <v>1</v>
      </c>
      <c r="K26" s="7" t="b">
        <f aca="false">AND(NOT(I26),J26)</f>
        <v>1</v>
      </c>
      <c r="L26" s="7" t="b">
        <f aca="false">OR(H26,NOT(K26))</f>
        <v>0</v>
      </c>
      <c r="M26" s="7" t="b">
        <f aca="false">IF(NOT(K26),"",IF(COUNTIFS(Records!$G$2:$G$27,G26,Records!$K$2:$K$27,TRUE())&gt;1,TRUE(),FALSE()))</f>
        <v>0</v>
      </c>
      <c r="N26" s="5" t="n">
        <f aca="false">IF(K26,SUMPRODUCT((Records!$G$2:$G$27=G26)*(Records!$K$2:$K$27=TRUE())*(Records!$E$2:$E$27&gt;E26))+SUMPRODUCT((Records!$G$2:$G$27=G26)*(Records!$K$2:$K$27=TRUE())*(Records!$E$2:$E$27=E26)*(Records!$A$2:$A$27&gt;A26))+1,"")</f>
        <v>1</v>
      </c>
      <c r="O26" s="5" t="str">
        <f aca="false">IF(K26,G26&amp;"|"&amp;N26,"")</f>
        <v>grace.kim@example.com|1</v>
      </c>
    </row>
    <row r="27" customFormat="false" ht="15" hidden="false" customHeight="false" outlineLevel="0" collapsed="false">
      <c r="A27" s="5" t="s">
        <v>84</v>
      </c>
      <c r="B27" s="5" t="s">
        <v>69</v>
      </c>
      <c r="C27" s="5" t="s">
        <v>85</v>
      </c>
      <c r="D27" s="5" t="s">
        <v>86</v>
      </c>
      <c r="E27" s="6" t="n">
        <v>45696</v>
      </c>
      <c r="F27" s="5" t="str">
        <f aca="false">TRIM(C27)</f>
        <v>Tara Fields</v>
      </c>
      <c r="G27" s="5" t="str">
        <f aca="false">LOWER(TRIM(D27))</f>
        <v>tara fields@example.com</v>
      </c>
      <c r="H27" s="7" t="b">
        <f aca="false">F27=""</f>
        <v>0</v>
      </c>
      <c r="I27" s="7" t="b">
        <f aca="false">G27=""</f>
        <v>0</v>
      </c>
      <c r="J27" s="7" t="b">
        <f aca="false">IF(I27,FALSE(),AND(ISNUMBER(SEARCH("@",G27)),LEN(G27)-LEN(SUBSTITUTE(G27,"@",""))=1,LEFT(G27,1)&lt;&gt;"@",RIGHT(G27,1)&lt;&gt;"@",ISNUMBER(SEARCH(".",G27,SEARCH("@",G27)+2)),RIGHT(G27,1)&lt;&gt;".",LEN(G27)=LEN(SUBSTITUTE(G27," ",""))))</f>
        <v>0</v>
      </c>
      <c r="K27" s="7" t="b">
        <f aca="false">AND(NOT(I27),J27)</f>
        <v>0</v>
      </c>
      <c r="L27" s="7" t="b">
        <f aca="false">OR(H27,NOT(K27))</f>
        <v>1</v>
      </c>
      <c r="M27" s="5" t="str">
        <f aca="false">IF(NOT(K27),"",IF(COUNTIFS(Records!$G$2:$G$27,G27,Records!$K$2:$K$27,TRUE())&gt;1,TRUE(),FALSE()))</f>
        <v/>
      </c>
      <c r="N27" s="5" t="str">
        <f aca="false">IF(K27,SUMPRODUCT((Records!$G$2:$G$27=G27)*(Records!$K$2:$K$27=TRUE())*(Records!$E$2:$E$27&gt;E27))+SUMPRODUCT((Records!$G$2:$G$27=G27)*(Records!$K$2:$K$27=TRUE())*(Records!$E$2:$E$27=E27)*(Records!$A$2:$A$27&gt;A27))+1,"")</f>
        <v/>
      </c>
      <c r="O27" s="5" t="str">
        <f aca="false">IF(K27,G27&amp;"|"&amp;N27,"")</f>
        <v/>
      </c>
    </row>
    <row r="29" customFormat="false" ht="15" hidden="false" customHeight="false" outlineLevel="0" collapsed="false">
      <c r="A29" s="8" t="s">
        <v>87</v>
      </c>
    </row>
    <row r="30" customFormat="false" ht="15" hidden="false" customHeight="false" outlineLevel="0" collapsed="false">
      <c r="A30" s="9" t="s">
        <v>88</v>
      </c>
    </row>
    <row r="31" customFormat="false" ht="15" hidden="false" customHeight="false" outlineLevel="0" collapsed="false">
      <c r="A31" s="10" t="s">
        <v>89</v>
      </c>
    </row>
    <row r="32" customFormat="false" ht="15" hidden="false" customHeight="false" outlineLevel="0" collapsed="false">
      <c r="A32" s="11" t="s">
        <v>90</v>
      </c>
    </row>
    <row r="34" customFormat="false" ht="15" hidden="false" customHeight="false" outlineLevel="0" collapsed="false">
      <c r="A34" s="12" t="s">
        <v>91</v>
      </c>
    </row>
  </sheetData>
  <autoFilter ref="A1:O27"/>
  <conditionalFormatting sqref="A2:O27">
    <cfRule type="expression" priority="2" aboveAverage="0" equalAverage="0" bottom="0" percent="0" rank="0" text="" dxfId="5">
      <formula>$L2=1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6"/>
    <col collapsed="false" customWidth="true" hidden="false" outlineLevel="0" max="3" min="3" style="0" width="22"/>
    <col collapsed="false" customWidth="true" hidden="false" outlineLevel="0" max="4" min="4" style="0" width="28"/>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8" min="8" style="0" width="30"/>
  </cols>
  <sheetData>
    <row r="1" customFormat="false" ht="31.5" hidden="false" customHeight="true" outlineLevel="0" collapsed="false">
      <c r="A1" s="1" t="s">
        <v>92</v>
      </c>
      <c r="B1" s="1" t="s">
        <v>93</v>
      </c>
      <c r="C1" s="1" t="s">
        <v>94</v>
      </c>
      <c r="D1" s="1" t="s">
        <v>95</v>
      </c>
      <c r="E1" s="1" t="s">
        <v>96</v>
      </c>
      <c r="F1" s="1" t="s">
        <v>97</v>
      </c>
      <c r="G1" s="1" t="s">
        <v>98</v>
      </c>
      <c r="H1" s="1" t="s">
        <v>99</v>
      </c>
    </row>
    <row r="2" customFormat="false" ht="15" hidden="false" customHeight="false" outlineLevel="0" collapsed="false">
      <c r="A2" s="13" t="s">
        <v>100</v>
      </c>
      <c r="B2" s="13" t="s">
        <v>18</v>
      </c>
      <c r="C2" s="13" t="str">
        <f aca="false">IFERROR(INDEX(Records!$F$2:$F$27,MATCH(B2&amp;"|"&amp;(_xlfn.MINIFS(Records!$N$2:$N$27,Records!$G$2:$G$27,B2,Records!$K$2:$K$27,TRUE(),Records!$F$2:$F$27,"&lt;&gt;")),Records!$O$2:$O$27,0)),"")</f>
        <v>Alice Johnson</v>
      </c>
      <c r="D2" s="13" t="str">
        <f aca="false">IFERROR(INDEX(Records!$D$2:$D$27,MATCH(B2&amp;"|"&amp;_xlfn.MINIFS(Records!$N$2:$N$27,Records!$G$2:$G$27,B2,Records!$K$2:$K$27,TRUE(),Records!$D$2:$D$27,"&lt;&gt;"),Records!$O$2:$O$27,0)),"")</f>
        <v>alice.johnson@example.com</v>
      </c>
      <c r="E2" s="14" t="n">
        <f aca="false">_xlfn.MAXIFS(Records!$E$2:$E$27,Records!$G$2:$G$27,B2,Records!$K$2:$K$27,TRUE())</f>
        <v>45667</v>
      </c>
      <c r="F2" s="13" t="n">
        <f aca="false">COUNTIFS(Records!$G$2:$G$27,B2,Records!$K$2:$K$27,TRUE())</f>
        <v>1</v>
      </c>
      <c r="G2" s="13" t="str">
        <f aca="false">IF(F2&gt;1,"Yes","No")</f>
        <v>No</v>
      </c>
      <c r="H2" s="13" t="str">
        <f aca="false" t="array" ref="H2:H2">_xlfn.TEXTJOIN(", ",TRUE(),IF((Records!$G$2:$G$27=B2)*(Records!$K$2:$K$27=TRUE()),Records!$A$2:$A$27,""))</f>
        <v>R001</v>
      </c>
    </row>
    <row r="3" customFormat="false" ht="15" hidden="false" customHeight="false" outlineLevel="0" collapsed="false">
      <c r="A3" s="13" t="s">
        <v>101</v>
      </c>
      <c r="B3" s="13" t="s">
        <v>61</v>
      </c>
      <c r="C3" s="13" t="str">
        <f aca="false">IFERROR(INDEX(Records!$F$2:$F$27,MATCH(B3&amp;"|"&amp;(_xlfn.MINIFS(Records!$N$2:$N$27,Records!$G$2:$G$27,B3,Records!$K$2:$K$27,TRUE(),Records!$F$2:$F$27,"&lt;&gt;")),Records!$O$2:$O$27,0)),"")</f>
        <v>Bob Smith</v>
      </c>
      <c r="D3" s="13" t="str">
        <f aca="false">IFERROR(INDEX(Records!$D$2:$D$27,MATCH(B3&amp;"|"&amp;_xlfn.MINIFS(Records!$N$2:$N$27,Records!$G$2:$G$27,B3,Records!$K$2:$K$27,TRUE(),Records!$D$2:$D$27,"&lt;&gt;"),Records!$O$2:$O$27,0)),"")</f>
        <v>bob.smith@example.com</v>
      </c>
      <c r="E3" s="14" t="n">
        <f aca="false">_xlfn.MAXIFS(Records!$E$2:$E$27,Records!$G$2:$G$27,B3,Records!$K$2:$K$27,TRUE())</f>
        <v>45690</v>
      </c>
      <c r="F3" s="13" t="n">
        <f aca="false">COUNTIFS(Records!$G$2:$G$27,B3,Records!$K$2:$K$27,TRUE())</f>
        <v>3</v>
      </c>
      <c r="G3" s="13" t="str">
        <f aca="false">IF(F3&gt;1,"Yes","No")</f>
        <v>Yes</v>
      </c>
      <c r="H3" s="13" t="str">
        <f aca="false" t="array" ref="H3:H3">_xlfn.TEXTJOIN(", ",TRUE(),IF((Records!$G$2:$G$27=B3)*(Records!$K$2:$K$27=TRUE()),Records!$A$2:$A$27,""))</f>
        <v>R002, R016, R020</v>
      </c>
    </row>
    <row r="4" customFormat="false" ht="15" hidden="false" customHeight="false" outlineLevel="0" collapsed="false">
      <c r="A4" s="13" t="s">
        <v>102</v>
      </c>
      <c r="B4" s="13" t="s">
        <v>24</v>
      </c>
      <c r="C4" s="13" t="str">
        <f aca="false">IFERROR(INDEX(Records!$F$2:$F$27,MATCH(B4&amp;"|"&amp;(_xlfn.MINIFS(Records!$N$2:$N$27,Records!$G$2:$G$27,B4,Records!$K$2:$K$27,TRUE(),Records!$F$2:$F$27,"&lt;&gt;")),Records!$O$2:$O$27,0)),"")</f>
        <v>Carla G. Martinez</v>
      </c>
      <c r="D4" s="13" t="str">
        <f aca="false">IFERROR(INDEX(Records!$D$2:$D$27,MATCH(B4&amp;"|"&amp;_xlfn.MINIFS(Records!$N$2:$N$27,Records!$G$2:$G$27,B4,Records!$K$2:$K$27,TRUE(),Records!$D$2:$D$27,"&lt;&gt;"),Records!$O$2:$O$27,0)),"")</f>
        <v>CARLA.GOMEZ@EXAMPLE.COM</v>
      </c>
      <c r="E4" s="14" t="n">
        <f aca="false">_xlfn.MAXIFS(Records!$E$2:$E$27,Records!$G$2:$G$27,B4,Records!$K$2:$K$27,TRUE())</f>
        <v>45670</v>
      </c>
      <c r="F4" s="13" t="n">
        <f aca="false">COUNTIFS(Records!$G$2:$G$27,B4,Records!$K$2:$K$27,TRUE())</f>
        <v>2</v>
      </c>
      <c r="G4" s="13" t="str">
        <f aca="false">IF(F4&gt;1,"Yes","No")</f>
        <v>Yes</v>
      </c>
      <c r="H4" s="13" t="str">
        <f aca="false" t="array" ref="H4:H4">_xlfn.TEXTJOIN(", ",TRUE(),IF((Records!$G$2:$G$27=B4)*(Records!$K$2:$K$27=TRUE()),Records!$A$2:$A$27,""))</f>
        <v>R003, R017</v>
      </c>
    </row>
    <row r="5" customFormat="false" ht="15" hidden="false" customHeight="false" outlineLevel="0" collapsed="false">
      <c r="A5" s="13" t="s">
        <v>103</v>
      </c>
      <c r="B5" s="13" t="s">
        <v>27</v>
      </c>
      <c r="C5" s="13" t="str">
        <f aca="false">IFERROR(INDEX(Records!$F$2:$F$27,MATCH(B5&amp;"|"&amp;(_xlfn.MINIFS(Records!$N$2:$N$27,Records!$G$2:$G$27,B5,Records!$K$2:$K$27,TRUE(),Records!$F$2:$F$27,"&lt;&gt;")),Records!$O$2:$O$27,0)),"")</f>
        <v>David Lee</v>
      </c>
      <c r="D5" s="13" t="str">
        <f aca="false">IFERROR(INDEX(Records!$D$2:$D$27,MATCH(B5&amp;"|"&amp;_xlfn.MINIFS(Records!$N$2:$N$27,Records!$G$2:$G$27,B5,Records!$K$2:$K$27,TRUE(),Records!$D$2:$D$27,"&lt;&gt;"),Records!$O$2:$O$27,0)),"")</f>
        <v>david.lee@example.com</v>
      </c>
      <c r="E5" s="14" t="n">
        <f aca="false">_xlfn.MAXIFS(Records!$E$2:$E$27,Records!$G$2:$G$27,B5,Records!$K$2:$K$27,TRUE())</f>
        <v>45670</v>
      </c>
      <c r="F5" s="13" t="n">
        <f aca="false">COUNTIFS(Records!$G$2:$G$27,B5,Records!$K$2:$K$27,TRUE())</f>
        <v>1</v>
      </c>
      <c r="G5" s="13" t="str">
        <f aca="false">IF(F5&gt;1,"Yes","No")</f>
        <v>No</v>
      </c>
      <c r="H5" s="13" t="str">
        <f aca="false" t="array" ref="H5:H5">_xlfn.TEXTJOIN(", ",TRUE(),IF((Records!$G$2:$G$27=B5)*(Records!$K$2:$K$27=TRUE()),Records!$A$2:$A$27,""))</f>
        <v>R004</v>
      </c>
    </row>
    <row r="6" customFormat="false" ht="15" hidden="false" customHeight="false" outlineLevel="0" collapsed="false">
      <c r="A6" s="13" t="s">
        <v>104</v>
      </c>
      <c r="B6" s="13" t="s">
        <v>32</v>
      </c>
      <c r="C6" s="13" t="str">
        <f aca="false">IFERROR(INDEX(Records!$F$2:$F$27,MATCH(B6&amp;"|"&amp;(_xlfn.MINIFS(Records!$N$2:$N$27,Records!$G$2:$G$27,B6,Records!$K$2:$K$27,TRUE(),Records!$F$2:$F$27,"&lt;&gt;")),Records!$O$2:$O$27,0)),"")</f>
        <v>Frank Miller</v>
      </c>
      <c r="D6" s="13" t="str">
        <f aca="false">IFERROR(INDEX(Records!$D$2:$D$27,MATCH(B6&amp;"|"&amp;_xlfn.MINIFS(Records!$N$2:$N$27,Records!$G$2:$G$27,B6,Records!$K$2:$K$27,TRUE(),Records!$D$2:$D$27,"&lt;&gt;"),Records!$O$2:$O$27,0)),"")</f>
        <v>frank.miller@example.com</v>
      </c>
      <c r="E6" s="14" t="n">
        <f aca="false">_xlfn.MAXIFS(Records!$E$2:$E$27,Records!$G$2:$G$27,B6,Records!$K$2:$K$27,TRUE())</f>
        <v>45692</v>
      </c>
      <c r="F6" s="13" t="n">
        <f aca="false">COUNTIFS(Records!$G$2:$G$27,B6,Records!$K$2:$K$27,TRUE())</f>
        <v>2</v>
      </c>
      <c r="G6" s="13" t="str">
        <f aca="false">IF(F6&gt;1,"Yes","No")</f>
        <v>Yes</v>
      </c>
      <c r="H6" s="13" t="str">
        <f aca="false" t="array" ref="H6:H6">_xlfn.TEXTJOIN(", ",TRUE(),IF((Records!$G$2:$G$27=B6)*(Records!$K$2:$K$27=TRUE()),Records!$A$2:$A$27,""))</f>
        <v>R006, R022</v>
      </c>
    </row>
    <row r="7" customFormat="false" ht="15" hidden="false" customHeight="false" outlineLevel="0" collapsed="false">
      <c r="A7" s="13" t="s">
        <v>105</v>
      </c>
      <c r="B7" s="13" t="s">
        <v>37</v>
      </c>
      <c r="C7" s="13" t="str">
        <f aca="false">IFERROR(INDEX(Records!$F$2:$F$27,MATCH(B7&amp;"|"&amp;(_xlfn.MINIFS(Records!$N$2:$N$27,Records!$G$2:$G$27,B7,Records!$K$2:$K$27,TRUE(),Records!$F$2:$F$27,"&lt;&gt;")),Records!$O$2:$O$27,0)),"")</f>
        <v>Henry Ford</v>
      </c>
      <c r="D7" s="13" t="str">
        <f aca="false">IFERROR(INDEX(Records!$D$2:$D$27,MATCH(B7&amp;"|"&amp;_xlfn.MINIFS(Records!$N$2:$N$27,Records!$G$2:$G$27,B7,Records!$K$2:$K$27,TRUE(),Records!$D$2:$D$27,"&lt;&gt;"),Records!$O$2:$O$27,0)),"")</f>
        <v>henry.ford@example.com</v>
      </c>
      <c r="E7" s="14" t="n">
        <f aca="false">_xlfn.MAXIFS(Records!$E$2:$E$27,Records!$G$2:$G$27,B7,Records!$K$2:$K$27,TRUE())</f>
        <v>45674</v>
      </c>
      <c r="F7" s="13" t="n">
        <f aca="false">COUNTIFS(Records!$G$2:$G$27,B7,Records!$K$2:$K$27,TRUE())</f>
        <v>1</v>
      </c>
      <c r="G7" s="13" t="str">
        <f aca="false">IF(F7&gt;1,"Yes","No")</f>
        <v>No</v>
      </c>
      <c r="H7" s="13" t="str">
        <f aca="false" t="array" ref="H7:H7">_xlfn.TEXTJOIN(", ",TRUE(),IF((Records!$G$2:$G$27=B7)*(Records!$K$2:$K$27=TRUE()),Records!$A$2:$A$27,""))</f>
        <v>R008</v>
      </c>
    </row>
    <row r="8" customFormat="false" ht="15" hidden="false" customHeight="false" outlineLevel="0" collapsed="false">
      <c r="A8" s="13" t="s">
        <v>106</v>
      </c>
      <c r="B8" s="13" t="s">
        <v>40</v>
      </c>
      <c r="C8" s="13" t="str">
        <f aca="false">IFERROR(INDEX(Records!$F$2:$F$27,MATCH(B8&amp;"|"&amp;(_xlfn.MINIFS(Records!$N$2:$N$27,Records!$G$2:$G$27,B8,Records!$K$2:$K$27,TRUE(),Records!$F$2:$F$27,"&lt;&gt;")),Records!$O$2:$O$27,0)),"")</f>
        <v>Isla Turner</v>
      </c>
      <c r="D8" s="13" t="str">
        <f aca="false">IFERROR(INDEX(Records!$D$2:$D$27,MATCH(B8&amp;"|"&amp;_xlfn.MINIFS(Records!$N$2:$N$27,Records!$G$2:$G$27,B8,Records!$K$2:$K$27,TRUE(),Records!$D$2:$D$27,"&lt;&gt;"),Records!$O$2:$O$27,0)),"")</f>
        <v>isla.turner@example.com</v>
      </c>
      <c r="E8" s="14" t="n">
        <f aca="false">_xlfn.MAXIFS(Records!$E$2:$E$27,Records!$G$2:$G$27,B8,Records!$K$2:$K$27,TRUE())</f>
        <v>45675</v>
      </c>
      <c r="F8" s="13" t="n">
        <f aca="false">COUNTIFS(Records!$G$2:$G$27,B8,Records!$K$2:$K$27,TRUE())</f>
        <v>1</v>
      </c>
      <c r="G8" s="13" t="str">
        <f aca="false">IF(F8&gt;1,"Yes","No")</f>
        <v>No</v>
      </c>
      <c r="H8" s="13" t="str">
        <f aca="false" t="array" ref="H8:H8">_xlfn.TEXTJOIN(", ",TRUE(),IF((Records!$G$2:$G$27=B8)*(Records!$K$2:$K$27=TRUE()),Records!$A$2:$A$27,""))</f>
        <v>R009</v>
      </c>
    </row>
    <row r="9" customFormat="false" ht="15" hidden="false" customHeight="false" outlineLevel="0" collapsed="false">
      <c r="A9" s="13" t="s">
        <v>107</v>
      </c>
      <c r="B9" s="13" t="s">
        <v>43</v>
      </c>
      <c r="C9" s="13" t="str">
        <f aca="false">IFERROR(INDEX(Records!$F$2:$F$27,MATCH(B9&amp;"|"&amp;(_xlfn.MINIFS(Records!$N$2:$N$27,Records!$G$2:$G$27,B9,Records!$K$2:$K$27,TRUE(),Records!$F$2:$F$27,"&lt;&gt;")),Records!$O$2:$O$27,0)),"")</f>
        <v>Jack Nolan</v>
      </c>
      <c r="D9" s="13" t="str">
        <f aca="false">IFERROR(INDEX(Records!$D$2:$D$27,MATCH(B9&amp;"|"&amp;_xlfn.MINIFS(Records!$N$2:$N$27,Records!$G$2:$G$27,B9,Records!$K$2:$K$27,TRUE(),Records!$D$2:$D$27,"&lt;&gt;"),Records!$O$2:$O$27,0)),"")</f>
        <v>jack.nolan@example.com</v>
      </c>
      <c r="E9" s="14" t="n">
        <f aca="false">_xlfn.MAXIFS(Records!$E$2:$E$27,Records!$G$2:$G$27,B9,Records!$K$2:$K$27,TRUE())</f>
        <v>45676</v>
      </c>
      <c r="F9" s="13" t="n">
        <f aca="false">COUNTIFS(Records!$G$2:$G$27,B9,Records!$K$2:$K$27,TRUE())</f>
        <v>1</v>
      </c>
      <c r="G9" s="13" t="str">
        <f aca="false">IF(F9&gt;1,"Yes","No")</f>
        <v>No</v>
      </c>
      <c r="H9" s="13" t="str">
        <f aca="false" t="array" ref="H9:H9">_xlfn.TEXTJOIN(", ",TRUE(),IF((Records!$G$2:$G$27=B9)*(Records!$K$2:$K$27=TRUE()),Records!$A$2:$A$27,""))</f>
        <v>R010</v>
      </c>
    </row>
    <row r="10" customFormat="false" ht="15" hidden="false" customHeight="false" outlineLevel="0" collapsed="false">
      <c r="A10" s="13" t="s">
        <v>108</v>
      </c>
      <c r="B10" s="13" t="s">
        <v>46</v>
      </c>
      <c r="C10" s="13" t="str">
        <f aca="false">IFERROR(INDEX(Records!$F$2:$F$27,MATCH(B10&amp;"|"&amp;(_xlfn.MINIFS(Records!$N$2:$N$27,Records!$G$2:$G$27,B10,Records!$K$2:$K$27,TRUE(),Records!$F$2:$F$27,"&lt;&gt;")),Records!$O$2:$O$27,0)),"")</f>
        <v>Karen Diaz</v>
      </c>
      <c r="D10" s="13" t="str">
        <f aca="false">IFERROR(INDEX(Records!$D$2:$D$27,MATCH(B10&amp;"|"&amp;_xlfn.MINIFS(Records!$N$2:$N$27,Records!$G$2:$G$27,B10,Records!$K$2:$K$27,TRUE(),Records!$D$2:$D$27,"&lt;&gt;"),Records!$O$2:$O$27,0)),"")</f>
        <v>karen.diaz@example.com</v>
      </c>
      <c r="E10" s="14" t="n">
        <f aca="false">_xlfn.MAXIFS(Records!$E$2:$E$27,Records!$G$2:$G$27,B10,Records!$K$2:$K$27,TRUE())</f>
        <v>45677</v>
      </c>
      <c r="F10" s="13" t="n">
        <f aca="false">COUNTIFS(Records!$G$2:$G$27,B10,Records!$K$2:$K$27,TRUE())</f>
        <v>1</v>
      </c>
      <c r="G10" s="13" t="str">
        <f aca="false">IF(F10&gt;1,"Yes","No")</f>
        <v>No</v>
      </c>
      <c r="H10" s="13" t="str">
        <f aca="false" t="array" ref="H10:H10">_xlfn.TEXTJOIN(", ",TRUE(),IF((Records!$G$2:$G$27=B10)*(Records!$K$2:$K$27=TRUE()),Records!$A$2:$A$27,""))</f>
        <v>R011</v>
      </c>
    </row>
    <row r="11" customFormat="false" ht="15" hidden="false" customHeight="false" outlineLevel="0" collapsed="false">
      <c r="A11" s="13" t="s">
        <v>109</v>
      </c>
      <c r="B11" s="13" t="s">
        <v>49</v>
      </c>
      <c r="C11" s="13" t="str">
        <f aca="false">IFERROR(INDEX(Records!$F$2:$F$27,MATCH(B11&amp;"|"&amp;(_xlfn.MINIFS(Records!$N$2:$N$27,Records!$G$2:$G$27,B11,Records!$K$2:$K$27,TRUE(),Records!$F$2:$F$27,"&lt;&gt;")),Records!$O$2:$O$27,0)),"")</f>
        <v>Liam Chen</v>
      </c>
      <c r="D11" s="13" t="str">
        <f aca="false">IFERROR(INDEX(Records!$D$2:$D$27,MATCH(B11&amp;"|"&amp;_xlfn.MINIFS(Records!$N$2:$N$27,Records!$G$2:$G$27,B11,Records!$K$2:$K$27,TRUE(),Records!$D$2:$D$27,"&lt;&gt;"),Records!$O$2:$O$27,0)),"")</f>
        <v>liam.chen@example.com</v>
      </c>
      <c r="E11" s="14" t="n">
        <f aca="false">_xlfn.MAXIFS(Records!$E$2:$E$27,Records!$G$2:$G$27,B11,Records!$K$2:$K$27,TRUE())</f>
        <v>45678</v>
      </c>
      <c r="F11" s="13" t="n">
        <f aca="false">COUNTIFS(Records!$G$2:$G$27,B11,Records!$K$2:$K$27,TRUE())</f>
        <v>1</v>
      </c>
      <c r="G11" s="13" t="str">
        <f aca="false">IF(F11&gt;1,"Yes","No")</f>
        <v>No</v>
      </c>
      <c r="H11" s="13" t="str">
        <f aca="false" t="array" ref="H11:H11">_xlfn.TEXTJOIN(", ",TRUE(),IF((Records!$G$2:$G$27=B11)*(Records!$K$2:$K$27=TRUE()),Records!$A$2:$A$27,""))</f>
        <v>R012</v>
      </c>
    </row>
    <row r="12" customFormat="false" ht="15" hidden="false" customHeight="false" outlineLevel="0" collapsed="false">
      <c r="A12" s="13" t="s">
        <v>110</v>
      </c>
      <c r="B12" s="13" t="s">
        <v>55</v>
      </c>
      <c r="C12" s="13" t="str">
        <f aca="false">IFERROR(INDEX(Records!$F$2:$F$27,MATCH(B12&amp;"|"&amp;(_xlfn.MINIFS(Records!$N$2:$N$27,Records!$G$2:$G$27,B12,Records!$K$2:$K$27,TRUE(),Records!$F$2:$F$27,"&lt;&gt;")),Records!$O$2:$O$27,0)),"")</f>
        <v>Noah White</v>
      </c>
      <c r="D12" s="13" t="str">
        <f aca="false">IFERROR(INDEX(Records!$D$2:$D$27,MATCH(B12&amp;"|"&amp;_xlfn.MINIFS(Records!$N$2:$N$27,Records!$G$2:$G$27,B12,Records!$K$2:$K$27,TRUE(),Records!$D$2:$D$27,"&lt;&gt;"),Records!$O$2:$O$27,0)),"")</f>
        <v>noah.white@example.com</v>
      </c>
      <c r="E12" s="14" t="n">
        <f aca="false">_xlfn.MAXIFS(Records!$E$2:$E$27,Records!$G$2:$G$27,B12,Records!$K$2:$K$27,TRUE())</f>
        <v>45680</v>
      </c>
      <c r="F12" s="13" t="n">
        <f aca="false">COUNTIFS(Records!$G$2:$G$27,B12,Records!$K$2:$K$27,TRUE())</f>
        <v>1</v>
      </c>
      <c r="G12" s="13" t="str">
        <f aca="false">IF(F12&gt;1,"Yes","No")</f>
        <v>No</v>
      </c>
      <c r="H12" s="13" t="str">
        <f aca="false" t="array" ref="H12:H12">_xlfn.TEXTJOIN(", ",TRUE(),IF((Records!$G$2:$G$27=B12)*(Records!$K$2:$K$27=TRUE()),Records!$A$2:$A$27,""))</f>
        <v>R014</v>
      </c>
    </row>
    <row r="13" customFormat="false" ht="15" hidden="false" customHeight="false" outlineLevel="0" collapsed="false">
      <c r="A13" s="13" t="s">
        <v>111</v>
      </c>
      <c r="B13" s="13" t="s">
        <v>58</v>
      </c>
      <c r="C13" s="13" t="str">
        <f aca="false">IFERROR(INDEX(Records!$F$2:$F$27,MATCH(B13&amp;"|"&amp;(_xlfn.MINIFS(Records!$N$2:$N$27,Records!$G$2:$G$27,B13,Records!$K$2:$K$27,TRUE(),Records!$F$2:$F$27,"&lt;&gt;")),Records!$O$2:$O$27,0)),"")</f>
        <v>Olivia Brooks</v>
      </c>
      <c r="D13" s="13" t="str">
        <f aca="false">IFERROR(INDEX(Records!$D$2:$D$27,MATCH(B13&amp;"|"&amp;_xlfn.MINIFS(Records!$N$2:$N$27,Records!$G$2:$G$27,B13,Records!$K$2:$K$27,TRUE(),Records!$D$2:$D$27,"&lt;&gt;"),Records!$O$2:$O$27,0)),"")</f>
        <v>olivia.brooks@example.com</v>
      </c>
      <c r="E13" s="14" t="n">
        <f aca="false">_xlfn.MAXIFS(Records!$E$2:$E$27,Records!$G$2:$G$27,B13,Records!$K$2:$K$27,TRUE())</f>
        <v>45681</v>
      </c>
      <c r="F13" s="13" t="n">
        <f aca="false">COUNTIFS(Records!$G$2:$G$27,B13,Records!$K$2:$K$27,TRUE())</f>
        <v>1</v>
      </c>
      <c r="G13" s="13" t="str">
        <f aca="false">IF(F13&gt;1,"Yes","No")</f>
        <v>No</v>
      </c>
      <c r="H13" s="13" t="str">
        <f aca="false" t="array" ref="H13:H13">_xlfn.TEXTJOIN(", ",TRUE(),IF((Records!$G$2:$G$27=B13)*(Records!$K$2:$K$27=TRUE()),Records!$A$2:$A$27,""))</f>
        <v>R015</v>
      </c>
    </row>
    <row r="14" customFormat="false" ht="15" hidden="false" customHeight="false" outlineLevel="0" collapsed="false">
      <c r="A14" s="13" t="s">
        <v>112</v>
      </c>
      <c r="B14" s="13" t="s">
        <v>67</v>
      </c>
      <c r="C14" s="13" t="str">
        <f aca="false">IFERROR(INDEX(Records!$F$2:$F$27,MATCH(B14&amp;"|"&amp;(_xlfn.MINIFS(Records!$N$2:$N$27,Records!$G$2:$G$27,B14,Records!$K$2:$K$27,TRUE(),Records!$F$2:$F$27,"&lt;&gt;")),Records!$O$2:$O$27,0)),"")</f>
        <v>Priya Shah</v>
      </c>
      <c r="D14" s="13" t="str">
        <f aca="false">IFERROR(INDEX(Records!$D$2:$D$27,MATCH(B14&amp;"|"&amp;_xlfn.MINIFS(Records!$N$2:$N$27,Records!$G$2:$G$27,B14,Records!$K$2:$K$27,TRUE(),Records!$D$2:$D$27,"&lt;&gt;"),Records!$O$2:$O$27,0)),"")</f>
        <v>priya.shah@example.com</v>
      </c>
      <c r="E14" s="14" t="n">
        <f aca="false">_xlfn.MAXIFS(Records!$E$2:$E$27,Records!$G$2:$G$27,B14,Records!$K$2:$K$27,TRUE())</f>
        <v>45683</v>
      </c>
      <c r="F14" s="13" t="n">
        <f aca="false">COUNTIFS(Records!$G$2:$G$27,B14,Records!$K$2:$K$27,TRUE())</f>
        <v>1</v>
      </c>
      <c r="G14" s="13" t="str">
        <f aca="false">IF(F14&gt;1,"Yes","No")</f>
        <v>No</v>
      </c>
      <c r="H14" s="13" t="str">
        <f aca="false" t="array" ref="H14:H14">_xlfn.TEXTJOIN(", ",TRUE(),IF((Records!$G$2:$G$27=B14)*(Records!$K$2:$K$27=TRUE()),Records!$A$2:$A$27,""))</f>
        <v>R018</v>
      </c>
    </row>
    <row r="15" customFormat="false" ht="15" hidden="false" customHeight="false" outlineLevel="0" collapsed="false">
      <c r="A15" s="13" t="s">
        <v>113</v>
      </c>
      <c r="B15" s="13" t="s">
        <v>71</v>
      </c>
      <c r="C15" s="13" t="str">
        <f aca="false">IFERROR(INDEX(Records!$F$2:$F$27,MATCH(B15&amp;"|"&amp;(_xlfn.MINIFS(Records!$N$2:$N$27,Records!$G$2:$G$27,B15,Records!$K$2:$K$27,TRUE(),Records!$F$2:$F$27,"&lt;&gt;")),Records!$O$2:$O$27,0)),"")</f>
        <v>Quinn Adams</v>
      </c>
      <c r="D15" s="13" t="str">
        <f aca="false">IFERROR(INDEX(Records!$D$2:$D$27,MATCH(B15&amp;"|"&amp;_xlfn.MINIFS(Records!$N$2:$N$27,Records!$G$2:$G$27,B15,Records!$K$2:$K$27,TRUE(),Records!$D$2:$D$27,"&lt;&gt;"),Records!$O$2:$O$27,0)),"")</f>
        <v>quinn.adams@example.com</v>
      </c>
      <c r="E15" s="14" t="n">
        <f aca="false">_xlfn.MAXIFS(Records!$E$2:$E$27,Records!$G$2:$G$27,B15,Records!$K$2:$K$27,TRUE())</f>
        <v>45689</v>
      </c>
      <c r="F15" s="13" t="n">
        <f aca="false">COUNTIFS(Records!$G$2:$G$27,B15,Records!$K$2:$K$27,TRUE())</f>
        <v>1</v>
      </c>
      <c r="G15" s="13" t="str">
        <f aca="false">IF(F15&gt;1,"Yes","No")</f>
        <v>No</v>
      </c>
      <c r="H15" s="13" t="str">
        <f aca="false" t="array" ref="H15:H15">_xlfn.TEXTJOIN(", ",TRUE(),IF((Records!$G$2:$G$27=B15)*(Records!$K$2:$K$27=TRUE()),Records!$A$2:$A$27,""))</f>
        <v>R019</v>
      </c>
    </row>
    <row r="16" customFormat="false" ht="15" hidden="false" customHeight="false" outlineLevel="0" collapsed="false">
      <c r="A16" s="13" t="s">
        <v>114</v>
      </c>
      <c r="B16" s="13" t="s">
        <v>78</v>
      </c>
      <c r="C16" s="13" t="str">
        <f aca="false">IFERROR(INDEX(Records!$F$2:$F$27,MATCH(B16&amp;"|"&amp;(_xlfn.MINIFS(Records!$N$2:$N$27,Records!$G$2:$G$27,B16,Records!$K$2:$K$27,TRUE(),Records!$F$2:$F$27,"&lt;&gt;")),Records!$O$2:$O$27,0)),"")</f>
        <v>Rita O'Connor</v>
      </c>
      <c r="D16" s="13" t="str">
        <f aca="false">IFERROR(INDEX(Records!$D$2:$D$27,MATCH(B16&amp;"|"&amp;_xlfn.MINIFS(Records!$N$2:$N$27,Records!$G$2:$G$27,B16,Records!$K$2:$K$27,TRUE(),Records!$D$2:$D$27,"&lt;&gt;"),Records!$O$2:$O$27,0)),"")</f>
        <v>rita.oconnor@example.com</v>
      </c>
      <c r="E16" s="14" t="n">
        <f aca="false">_xlfn.MAXIFS(Records!$E$2:$E$27,Records!$G$2:$G$27,B16,Records!$K$2:$K$27,TRUE())</f>
        <v>45693</v>
      </c>
      <c r="F16" s="13" t="n">
        <f aca="false">COUNTIFS(Records!$G$2:$G$27,B16,Records!$K$2:$K$27,TRUE())</f>
        <v>1</v>
      </c>
      <c r="G16" s="13" t="str">
        <f aca="false">IF(F16&gt;1,"Yes","No")</f>
        <v>No</v>
      </c>
      <c r="H16" s="13" t="str">
        <f aca="false" t="array" ref="H16:H16">_xlfn.TEXTJOIN(", ",TRUE(),IF((Records!$G$2:$G$27=B16)*(Records!$K$2:$K$27=TRUE()),Records!$A$2:$A$27,""))</f>
        <v>R023</v>
      </c>
    </row>
    <row r="17" customFormat="false" ht="15" hidden="false" customHeight="false" outlineLevel="0" collapsed="false">
      <c r="A17" s="13" t="s">
        <v>115</v>
      </c>
      <c r="B17" s="13" t="s">
        <v>81</v>
      </c>
      <c r="C17" s="13" t="str">
        <f aca="false">IFERROR(INDEX(Records!$F$2:$F$27,MATCH(B17&amp;"|"&amp;(_xlfn.MINIFS(Records!$N$2:$N$27,Records!$G$2:$G$27,B17,Records!$K$2:$K$27,TRUE(),Records!$F$2:$F$27,"&lt;&gt;")),Records!$O$2:$O$27,0)),"")</f>
        <v>Sam Young</v>
      </c>
      <c r="D17" s="13" t="str">
        <f aca="false">IFERROR(INDEX(Records!$D$2:$D$27,MATCH(B17&amp;"|"&amp;_xlfn.MINIFS(Records!$N$2:$N$27,Records!$G$2:$G$27,B17,Records!$K$2:$K$27,TRUE(),Records!$D$2:$D$27,"&lt;&gt;"),Records!$O$2:$O$27,0)),"")</f>
        <v>sam.young@example.com</v>
      </c>
      <c r="E17" s="14" t="n">
        <f aca="false">_xlfn.MAXIFS(Records!$E$2:$E$27,Records!$G$2:$G$27,B17,Records!$K$2:$K$27,TRUE())</f>
        <v>45694</v>
      </c>
      <c r="F17" s="13" t="n">
        <f aca="false">COUNTIFS(Records!$G$2:$G$27,B17,Records!$K$2:$K$27,TRUE())</f>
        <v>1</v>
      </c>
      <c r="G17" s="13" t="str">
        <f aca="false">IF(F17&gt;1,"Yes","No")</f>
        <v>No</v>
      </c>
      <c r="H17" s="13" t="str">
        <f aca="false" t="array" ref="H17:H17">_xlfn.TEXTJOIN(", ",TRUE(),IF((Records!$G$2:$G$27=B17)*(Records!$K$2:$K$27=TRUE()),Records!$A$2:$A$27,""))</f>
        <v>R024</v>
      </c>
    </row>
    <row r="18" customFormat="false" ht="15" hidden="false" customHeight="false" outlineLevel="0" collapsed="false">
      <c r="A18" s="13" t="s">
        <v>116</v>
      </c>
      <c r="B18" s="13" t="s">
        <v>83</v>
      </c>
      <c r="C18" s="13" t="str">
        <f aca="false">IFERROR(INDEX(Records!$F$2:$F$27,MATCH(B18&amp;"|"&amp;(_xlfn.MINIFS(Records!$N$2:$N$27,Records!$G$2:$G$27,B18,Records!$K$2:$K$27,TRUE(),Records!$F$2:$F$27,"&lt;&gt;")),Records!$O$2:$O$27,0)),"")</f>
        <v>Grace Kim</v>
      </c>
      <c r="D18" s="13" t="str">
        <f aca="false">IFERROR(INDEX(Records!$D$2:$D$27,MATCH(B18&amp;"|"&amp;_xlfn.MINIFS(Records!$N$2:$N$27,Records!$G$2:$G$27,B18,Records!$K$2:$K$27,TRUE(),Records!$D$2:$D$27,"&lt;&gt;"),Records!$O$2:$O$27,0)),"")</f>
        <v>grace.kim@example.com</v>
      </c>
      <c r="E18" s="14" t="n">
        <f aca="false">_xlfn.MAXIFS(Records!$E$2:$E$27,Records!$G$2:$G$27,B18,Records!$K$2:$K$27,TRUE())</f>
        <v>45695</v>
      </c>
      <c r="F18" s="13" t="n">
        <f aca="false">COUNTIFS(Records!$G$2:$G$27,B18,Records!$K$2:$K$27,TRUE())</f>
        <v>1</v>
      </c>
      <c r="G18" s="13" t="str">
        <f aca="false">IF(F18&gt;1,"Yes","No")</f>
        <v>No</v>
      </c>
      <c r="H18" s="13" t="str">
        <f aca="false" t="array" ref="H18:H18">_xlfn.TEXTJOIN(", ",TRUE(),IF((Records!$G$2:$G$27=B18)*(Records!$K$2:$K$27=TRUE()),Records!$A$2:$A$27,""))</f>
        <v>R025</v>
      </c>
    </row>
    <row r="20" customFormat="false" ht="15" hidden="false" customHeight="false" outlineLevel="0" collapsed="false">
      <c r="A20" s="12" t="s">
        <v>117</v>
      </c>
    </row>
  </sheetData>
  <autoFilter ref="A1:H18"/>
  <conditionalFormatting sqref="A2:H18">
    <cfRule type="expression" priority="2" aboveAverage="0" equalAverage="0" bottom="0" percent="0" rank="0" text="" dxfId="6">
      <formula>$F2&gt;1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s>
  <sheetData>
    <row r="1" customFormat="false" ht="17.35" hidden="false" customHeight="false" outlineLevel="0" collapsed="false">
      <c r="A1" s="15" t="s">
        <v>118</v>
      </c>
      <c r="B1" s="15"/>
      <c r="C1" s="15"/>
    </row>
    <row r="2" customFormat="false" ht="15" hidden="false" customHeight="false" outlineLevel="0" collapsed="false">
      <c r="A2" s="16" t="s">
        <v>119</v>
      </c>
      <c r="B2" s="16"/>
      <c r="C2" s="16"/>
    </row>
    <row r="4" customFormat="false" ht="15" hidden="false" customHeight="false" outlineLevel="0" collapsed="false">
      <c r="A4" s="17" t="s">
        <v>120</v>
      </c>
      <c r="B4" s="17" t="s">
        <v>121</v>
      </c>
    </row>
    <row r="5" customFormat="false" ht="15" hidden="false" customHeight="false" outlineLevel="0" collapsed="false">
      <c r="A5" s="18" t="s">
        <v>122</v>
      </c>
      <c r="B5" s="19" t="n">
        <f aca="false">COUNTA(Records!$A$2:$A$27)</f>
        <v>26</v>
      </c>
    </row>
    <row r="6" customFormat="false" ht="15" hidden="false" customHeight="false" outlineLevel="0" collapsed="false">
      <c r="A6" s="13" t="s">
        <v>123</v>
      </c>
      <c r="B6" s="20" t="n">
        <f aca="false">COUNTIF(Records!$H$2:$H$27,TRUE())</f>
        <v>2</v>
      </c>
    </row>
    <row r="7" customFormat="false" ht="15" hidden="false" customHeight="false" outlineLevel="0" collapsed="false">
      <c r="A7" s="18" t="s">
        <v>124</v>
      </c>
      <c r="B7" s="19" t="n">
        <f aca="false">COUNTIF(Records!$K$2:$K$27,FALSE())</f>
        <v>5</v>
      </c>
    </row>
    <row r="8" customFormat="false" ht="15" hidden="false" customHeight="false" outlineLevel="0" collapsed="false">
      <c r="A8" s="13" t="s">
        <v>125</v>
      </c>
      <c r="B8" s="20" t="n">
        <f aca="false">COUNTIF(Records!$L$2:$L$27,TRUE())</f>
        <v>6</v>
      </c>
    </row>
    <row r="9" customFormat="false" ht="15" hidden="false" customHeight="false" outlineLevel="0" collapsed="false">
      <c r="A9" s="18" t="s">
        <v>126</v>
      </c>
      <c r="B9" s="19" t="n">
        <f aca="false">COUNTIF(Records!$K$2:$K$27,TRUE())</f>
        <v>21</v>
      </c>
    </row>
    <row r="10" customFormat="false" ht="15" hidden="false" customHeight="false" outlineLevel="0" collapsed="false">
      <c r="A10" s="13" t="s">
        <v>127</v>
      </c>
      <c r="B10" s="20" t="n">
        <f aca="false">COUNTIF(Records!$M$2:$M$27,TRUE())</f>
        <v>7</v>
      </c>
    </row>
    <row r="11" customFormat="false" ht="15" hidden="false" customHeight="false" outlineLevel="0" collapsed="false">
      <c r="A11" s="18" t="s">
        <v>128</v>
      </c>
      <c r="B11" s="19" t="n">
        <f aca="false">COUNTA(Coalesced!$B$2:$B$18)</f>
        <v>17</v>
      </c>
    </row>
    <row r="12" customFormat="false" ht="15" hidden="false" customHeight="false" outlineLevel="0" collapsed="false">
      <c r="A12" s="13" t="s">
        <v>129</v>
      </c>
      <c r="B12" s="20" t="n">
        <f aca="false">COUNTIF(Records!$K$2:$K$27,TRUE())-COUNTA(Coalesced!$B$2:$B$18)</f>
        <v>4</v>
      </c>
    </row>
    <row r="13" customFormat="false" ht="15" hidden="false" customHeight="false" outlineLevel="0" collapsed="false">
      <c r="A13" s="18" t="s">
        <v>130</v>
      </c>
      <c r="B13" s="19" t="n">
        <f aca="false">COUNTA(Records!$A$2:$A$27)-COUNTIF(Records!$K$2:$K$27,TRUE())</f>
        <v>5</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0"/>
    <col collapsed="false" customWidth="true" hidden="false" outlineLevel="0" max="4" min="3" style="0" width="20"/>
  </cols>
  <sheetData>
    <row r="1" customFormat="false" ht="17.35" hidden="false" customHeight="false" outlineLevel="0" collapsed="false">
      <c r="A1" s="15" t="s">
        <v>131</v>
      </c>
      <c r="B1" s="15"/>
      <c r="C1" s="15"/>
      <c r="D1" s="15"/>
    </row>
    <row r="3" customFormat="false" ht="30" hidden="false" customHeight="true" outlineLevel="0" collapsed="false">
      <c r="A3" s="21" t="s">
        <v>132</v>
      </c>
      <c r="B3" s="22" t="s">
        <v>133</v>
      </c>
      <c r="C3" s="22"/>
      <c r="D3" s="22"/>
    </row>
    <row r="5" customFormat="false" ht="45" hidden="false" customHeight="true" outlineLevel="0" collapsed="false">
      <c r="A5" s="21" t="s">
        <v>134</v>
      </c>
      <c r="B5" s="22" t="s">
        <v>135</v>
      </c>
      <c r="C5" s="22"/>
      <c r="D5" s="22"/>
    </row>
    <row r="7" customFormat="false" ht="60" hidden="false" customHeight="true" outlineLevel="0" collapsed="false">
      <c r="A7" s="21" t="s">
        <v>136</v>
      </c>
      <c r="B7" s="22" t="s">
        <v>137</v>
      </c>
      <c r="C7" s="22"/>
      <c r="D7" s="22"/>
    </row>
    <row r="9" customFormat="false" ht="60" hidden="false" customHeight="true" outlineLevel="0" collapsed="false">
      <c r="A9" s="21" t="s">
        <v>138</v>
      </c>
      <c r="B9" s="22" t="s">
        <v>139</v>
      </c>
      <c r="C9" s="22"/>
      <c r="D9" s="22"/>
    </row>
    <row r="11" customFormat="false" ht="90" hidden="false" customHeight="true" outlineLevel="0" collapsed="false">
      <c r="A11" s="21" t="s">
        <v>140</v>
      </c>
      <c r="B11" s="22" t="s">
        <v>141</v>
      </c>
      <c r="C11" s="22"/>
      <c r="D11" s="22"/>
    </row>
    <row r="13" customFormat="false" ht="225" hidden="false" customHeight="true" outlineLevel="0" collapsed="false">
      <c r="A13" s="21" t="s">
        <v>142</v>
      </c>
      <c r="B13" s="22" t="s">
        <v>143</v>
      </c>
      <c r="C13" s="22"/>
      <c r="D13" s="22"/>
    </row>
    <row r="15" customFormat="false" ht="75" hidden="false" customHeight="true" outlineLevel="0" collapsed="false">
      <c r="A15" s="21" t="s">
        <v>144</v>
      </c>
      <c r="B15" s="22" t="s">
        <v>145</v>
      </c>
      <c r="C15" s="22"/>
      <c r="D15" s="22"/>
    </row>
  </sheetData>
  <mergeCells count="8">
    <mergeCell ref="A1:D1"/>
    <mergeCell ref="B3:D3"/>
    <mergeCell ref="B5:D5"/>
    <mergeCell ref="B7:D7"/>
    <mergeCell ref="B9:D9"/>
    <mergeCell ref="B11:D11"/>
    <mergeCell ref="B13:D13"/>
    <mergeCell ref="B15:D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2026-09-25T06:27:24Z</dcterms:created>
  <dc:creator>openpyxl</dc:creator>
  <dc:description/>
  <dc:language>en-US</dc:language>
  <cp:lastModifiedBy/>
  <dcterms:modified xsi:type="dcterms:W3CDTF">2026-09-25T06:27:24Z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